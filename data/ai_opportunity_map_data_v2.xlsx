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My Drive\"/>
    </mc:Choice>
  </mc:AlternateContent>
  <xr:revisionPtr revIDLastSave="0" documentId="13_ncr:1_{39B36991-DE69-4A45-871B-33D0F81F9AD1}" xr6:coauthVersionLast="47" xr6:coauthVersionMax="47" xr10:uidLastSave="{00000000-0000-0000-0000-000000000000}"/>
  <bookViews>
    <workbookView xWindow="-110" yWindow="-110" windowWidth="38620" windowHeight="21100" tabRatio="500" activeTab="3" xr2:uid="{00000000-000D-0000-FFFF-FFFF00000000}"/>
  </bookViews>
  <sheets>
    <sheet name="README" sheetId="1" r:id="rId1"/>
    <sheet name="Config" sheetId="2" r:id="rId2"/>
    <sheet name="Enablers" sheetId="3" r:id="rId3"/>
    <sheet name="Use Cases" sheetId="4" r:id="rId4"/>
    <sheet name="Impact Scores" sheetId="5" r:id="rId5"/>
    <sheet name="Readiness Scores" sheetId="6" r:id="rId6"/>
  </sheets>
  <definedNames>
    <definedName name="BusinessDomains">Config!$D$48:$D$53</definedName>
    <definedName name="CurrentStates">Config!$F$48:$F$52</definedName>
    <definedName name="EnablerIDs">Enablers!$B$8:$B$15</definedName>
    <definedName name="ImpactFactorIDs">Config!$C$22:$C$27</definedName>
    <definedName name="ImpactFactors">Config!$C$22:$E$28</definedName>
    <definedName name="InvestmentThemes">Config!$C$48:$C$58</definedName>
    <definedName name="ReadinessFactorIDs">Config!$C$35:$C$41</definedName>
    <definedName name="ReadinessFactors">Config!$C$35:$E$41</definedName>
    <definedName name="RegulatoryRisk">Config!$E$48:$E$50</definedName>
    <definedName name="UseCaseIDs">'Use Cases'!$B$7:$B$106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7" i="5" l="1"/>
  <c r="L7" i="5"/>
  <c r="M7" i="5"/>
  <c r="N7" i="5"/>
  <c r="E29" i="2"/>
  <c r="B101" i="6"/>
  <c r="D101" i="6" s="1"/>
  <c r="B102" i="6"/>
  <c r="D102" i="6" s="1"/>
  <c r="B103" i="6"/>
  <c r="D103" i="6" s="1"/>
  <c r="B104" i="6"/>
  <c r="D104" i="6" s="1"/>
  <c r="B105" i="6"/>
  <c r="D105" i="6" s="1"/>
  <c r="B106" i="6"/>
  <c r="D106" i="6" s="1"/>
  <c r="B101" i="5"/>
  <c r="B102" i="5"/>
  <c r="B103" i="5"/>
  <c r="B104" i="5"/>
  <c r="C104" i="5"/>
  <c r="D104" i="5"/>
  <c r="B105" i="5"/>
  <c r="C105" i="5" s="1"/>
  <c r="D105" i="5"/>
  <c r="B106" i="5"/>
  <c r="C106" i="5" s="1"/>
  <c r="D106" i="5"/>
  <c r="P6" i="3" a="1"/>
  <c r="P6" i="3" s="1"/>
  <c r="P7" i="3" s="1"/>
  <c r="Q6" i="3" a="1"/>
  <c r="Q6" i="3" s="1"/>
  <c r="Q7" i="3" s="1"/>
  <c r="R6" i="3" a="1"/>
  <c r="R6" i="3" s="1"/>
  <c r="R7" i="3" s="1"/>
  <c r="J6" i="3" a="1"/>
  <c r="J6" i="3" s="1"/>
  <c r="J7" i="3" s="1"/>
  <c r="K6" i="3" a="1"/>
  <c r="K6" i="3" s="1"/>
  <c r="K7" i="3" s="1"/>
  <c r="L6" i="3" a="1"/>
  <c r="L6" i="3" s="1"/>
  <c r="L7" i="3" s="1"/>
  <c r="M6" i="3" a="1"/>
  <c r="M6" i="3" s="1"/>
  <c r="M7" i="3" s="1"/>
  <c r="N6" i="3" a="1"/>
  <c r="N6" i="3" s="1"/>
  <c r="N7" i="3" s="1"/>
  <c r="O6" i="3" a="1"/>
  <c r="O6" i="3" s="1"/>
  <c r="O7" i="3" s="1"/>
  <c r="I6" i="3" a="1"/>
  <c r="I6" i="3" s="1"/>
  <c r="I7" i="3" s="1"/>
  <c r="D39" i="6"/>
  <c r="D40" i="6"/>
  <c r="D41" i="6"/>
  <c r="D42" i="6"/>
  <c r="D43" i="6"/>
  <c r="D44" i="6"/>
  <c r="D45" i="6"/>
  <c r="D46" i="6"/>
  <c r="D47" i="6"/>
  <c r="D48" i="6"/>
  <c r="D49" i="6"/>
  <c r="D50" i="6"/>
  <c r="D51" i="6"/>
  <c r="D52" i="6"/>
  <c r="N5" i="6" a="1"/>
  <c r="N5" i="6" s="1"/>
  <c r="F5" i="6" a="1"/>
  <c r="F5" i="6" s="1"/>
  <c r="G5" i="6" a="1"/>
  <c r="G5" i="6" s="1"/>
  <c r="H5" i="6" a="1"/>
  <c r="H5" i="6" s="1"/>
  <c r="I5" i="6" a="1"/>
  <c r="I5" i="6" s="1"/>
  <c r="J5" i="6" a="1"/>
  <c r="J5" i="6" s="1"/>
  <c r="K5" i="6" a="1"/>
  <c r="K5" i="6" s="1"/>
  <c r="L5" i="6" a="1"/>
  <c r="L5" i="6" s="1"/>
  <c r="M5" i="6" a="1"/>
  <c r="M5" i="6" s="1"/>
  <c r="E5" i="6" a="1"/>
  <c r="E5" i="6" s="1"/>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F5" i="5" a="1"/>
  <c r="F5" i="5" s="1"/>
  <c r="F7" i="5" s="1"/>
  <c r="G5" i="5" a="1"/>
  <c r="G5" i="5" s="1"/>
  <c r="G7" i="5" s="1"/>
  <c r="H5" i="5" a="1"/>
  <c r="H5" i="5" s="1"/>
  <c r="H7" i="5" s="1"/>
  <c r="I5" i="5" a="1"/>
  <c r="I5" i="5" s="1"/>
  <c r="J5" i="5" a="1"/>
  <c r="J5" i="5" s="1"/>
  <c r="J7" i="5" s="1"/>
  <c r="K5" i="5" a="1"/>
  <c r="K5" i="5" s="1"/>
  <c r="L5" i="5" a="1"/>
  <c r="L5" i="5" s="1"/>
  <c r="M5" i="5" a="1"/>
  <c r="M5" i="5" s="1"/>
  <c r="N5" i="5" a="1"/>
  <c r="N5" i="5" s="1"/>
  <c r="E5" i="5" a="1"/>
  <c r="E5" i="5" s="1"/>
  <c r="E7" i="5" s="1"/>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C41" i="5" s="1"/>
  <c r="B42" i="5"/>
  <c r="C42" i="5" s="1"/>
  <c r="B43" i="5"/>
  <c r="C43" i="5" s="1"/>
  <c r="B44" i="5"/>
  <c r="C44" i="5" s="1"/>
  <c r="B45" i="5"/>
  <c r="C45" i="5" s="1"/>
  <c r="B46" i="5"/>
  <c r="C46" i="5" s="1"/>
  <c r="B47" i="5"/>
  <c r="C47" i="5" s="1"/>
  <c r="B48" i="5"/>
  <c r="C48" i="5" s="1"/>
  <c r="B49" i="5"/>
  <c r="C49" i="5" s="1"/>
  <c r="B50" i="5"/>
  <c r="C50" i="5" s="1"/>
  <c r="B51" i="5"/>
  <c r="C51" i="5" s="1"/>
  <c r="B52" i="5"/>
  <c r="C52" i="5" s="1"/>
  <c r="B53" i="5"/>
  <c r="C53" i="5" s="1"/>
  <c r="B54" i="5"/>
  <c r="C54" i="5" s="1"/>
  <c r="B55" i="5"/>
  <c r="C55" i="5" s="1"/>
  <c r="B56" i="5"/>
  <c r="C56" i="5" s="1"/>
  <c r="B57" i="5"/>
  <c r="C57" i="5" s="1"/>
  <c r="B58" i="5"/>
  <c r="C58" i="5" s="1"/>
  <c r="B59" i="5"/>
  <c r="C59" i="5" s="1"/>
  <c r="B60" i="5"/>
  <c r="C60" i="5" s="1"/>
  <c r="B61" i="5"/>
  <c r="C61" i="5" s="1"/>
  <c r="B62" i="5"/>
  <c r="C62" i="5" s="1"/>
  <c r="B63" i="5"/>
  <c r="C63" i="5" s="1"/>
  <c r="B64" i="5"/>
  <c r="C64" i="5" s="1"/>
  <c r="B65" i="5"/>
  <c r="C65" i="5" s="1"/>
  <c r="B66" i="5"/>
  <c r="C66" i="5" s="1"/>
  <c r="B67" i="5"/>
  <c r="C67" i="5" s="1"/>
  <c r="B68" i="5"/>
  <c r="C68" i="5" s="1"/>
  <c r="B69" i="5"/>
  <c r="C69" i="5" s="1"/>
  <c r="B70" i="5"/>
  <c r="C70" i="5" s="1"/>
  <c r="B71" i="5"/>
  <c r="C71" i="5" s="1"/>
  <c r="B72" i="5"/>
  <c r="C72" i="5" s="1"/>
  <c r="B73" i="5"/>
  <c r="C73" i="5" s="1"/>
  <c r="B74" i="5"/>
  <c r="C74" i="5" s="1"/>
  <c r="B75" i="5"/>
  <c r="C75" i="5" s="1"/>
  <c r="B76" i="5"/>
  <c r="C76" i="5" s="1"/>
  <c r="B77" i="5"/>
  <c r="C77" i="5" s="1"/>
  <c r="B78" i="5"/>
  <c r="C78" i="5" s="1"/>
  <c r="B79" i="5"/>
  <c r="C79" i="5" s="1"/>
  <c r="B80" i="5"/>
  <c r="C80" i="5" s="1"/>
  <c r="B81" i="5"/>
  <c r="C81" i="5" s="1"/>
  <c r="B82" i="5"/>
  <c r="C82" i="5" s="1"/>
  <c r="B83" i="5"/>
  <c r="C83" i="5" s="1"/>
  <c r="B84" i="5"/>
  <c r="C84" i="5" s="1"/>
  <c r="B85" i="5"/>
  <c r="C85" i="5" s="1"/>
  <c r="B86" i="5"/>
  <c r="C86" i="5" s="1"/>
  <c r="B87" i="5"/>
  <c r="C87" i="5" s="1"/>
  <c r="B88" i="5"/>
  <c r="B89" i="5"/>
  <c r="B90" i="5"/>
  <c r="B91" i="5"/>
  <c r="B92" i="5"/>
  <c r="B93" i="5"/>
  <c r="B94" i="5"/>
  <c r="B95" i="5"/>
  <c r="B96" i="5"/>
  <c r="B97" i="5"/>
  <c r="B98" i="5"/>
  <c r="B99" i="5"/>
  <c r="B100" i="5"/>
  <c r="B8" i="5"/>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C39" i="6" s="1"/>
  <c r="B40" i="6"/>
  <c r="C40" i="6" s="1"/>
  <c r="B41" i="6"/>
  <c r="C41" i="6" s="1"/>
  <c r="B42" i="6"/>
  <c r="C42" i="6" s="1"/>
  <c r="B43" i="6"/>
  <c r="C43" i="6" s="1"/>
  <c r="B44" i="6"/>
  <c r="C44" i="6" s="1"/>
  <c r="B45" i="6"/>
  <c r="C45" i="6" s="1"/>
  <c r="B46" i="6"/>
  <c r="C46" i="6" s="1"/>
  <c r="B47" i="6"/>
  <c r="B48" i="6"/>
  <c r="B49" i="6"/>
  <c r="B50" i="6"/>
  <c r="B51" i="6"/>
  <c r="B52" i="6"/>
  <c r="B53" i="6"/>
  <c r="D53" i="6" s="1"/>
  <c r="B54" i="6"/>
  <c r="D54" i="6" s="1"/>
  <c r="B55" i="6"/>
  <c r="D55" i="6" s="1"/>
  <c r="B56" i="6"/>
  <c r="D56" i="6" s="1"/>
  <c r="B57" i="6"/>
  <c r="D57" i="6" s="1"/>
  <c r="B58" i="6"/>
  <c r="D58" i="6" s="1"/>
  <c r="B59" i="6"/>
  <c r="D59" i="6" s="1"/>
  <c r="B60" i="6"/>
  <c r="D60" i="6" s="1"/>
  <c r="B61" i="6"/>
  <c r="D61" i="6" s="1"/>
  <c r="B62" i="6"/>
  <c r="D62" i="6" s="1"/>
  <c r="B63" i="6"/>
  <c r="D63" i="6" s="1"/>
  <c r="B64" i="6"/>
  <c r="D64" i="6" s="1"/>
  <c r="B65" i="6"/>
  <c r="D65" i="6" s="1"/>
  <c r="B66" i="6"/>
  <c r="D66" i="6" s="1"/>
  <c r="B67" i="6"/>
  <c r="D67" i="6" s="1"/>
  <c r="B68" i="6"/>
  <c r="D68" i="6" s="1"/>
  <c r="B69" i="6"/>
  <c r="D69" i="6" s="1"/>
  <c r="B70" i="6"/>
  <c r="D70" i="6" s="1"/>
  <c r="B71" i="6"/>
  <c r="D71" i="6" s="1"/>
  <c r="B72" i="6"/>
  <c r="D72" i="6" s="1"/>
  <c r="B73" i="6"/>
  <c r="D73" i="6" s="1"/>
  <c r="B74" i="6"/>
  <c r="D74" i="6" s="1"/>
  <c r="B75" i="6"/>
  <c r="D75" i="6" s="1"/>
  <c r="B76" i="6"/>
  <c r="D76" i="6" s="1"/>
  <c r="B77" i="6"/>
  <c r="D77" i="6" s="1"/>
  <c r="B78" i="6"/>
  <c r="D78" i="6" s="1"/>
  <c r="B79" i="6"/>
  <c r="D79" i="6" s="1"/>
  <c r="B80" i="6"/>
  <c r="D80" i="6" s="1"/>
  <c r="B81" i="6"/>
  <c r="D81" i="6" s="1"/>
  <c r="B82" i="6"/>
  <c r="D82" i="6" s="1"/>
  <c r="B83" i="6"/>
  <c r="D83" i="6" s="1"/>
  <c r="B84" i="6"/>
  <c r="D84" i="6" s="1"/>
  <c r="B85" i="6"/>
  <c r="D85" i="6" s="1"/>
  <c r="B86" i="6"/>
  <c r="D86" i="6" s="1"/>
  <c r="B87" i="6"/>
  <c r="D87" i="6" s="1"/>
  <c r="B88" i="6"/>
  <c r="D88" i="6" s="1"/>
  <c r="B89" i="6"/>
  <c r="D89" i="6" s="1"/>
  <c r="B90" i="6"/>
  <c r="D90" i="6" s="1"/>
  <c r="B91" i="6"/>
  <c r="D91" i="6" s="1"/>
  <c r="B92" i="6"/>
  <c r="D92" i="6" s="1"/>
  <c r="B93" i="6"/>
  <c r="D93" i="6" s="1"/>
  <c r="B94" i="6"/>
  <c r="D94" i="6" s="1"/>
  <c r="B95" i="6"/>
  <c r="D95" i="6" s="1"/>
  <c r="B96" i="6"/>
  <c r="D96" i="6" s="1"/>
  <c r="B97" i="6"/>
  <c r="D97" i="6" s="1"/>
  <c r="B98" i="6"/>
  <c r="D98" i="6" s="1"/>
  <c r="B99" i="6"/>
  <c r="D99" i="6" s="1"/>
  <c r="B100" i="6"/>
  <c r="D100" i="6" s="1"/>
  <c r="B8" i="6"/>
  <c r="D16" i="2"/>
  <c r="D15" i="2"/>
  <c r="G15" i="3"/>
  <c r="G14" i="3"/>
  <c r="G13" i="3"/>
  <c r="G12" i="3"/>
  <c r="G11" i="3"/>
  <c r="G10" i="3"/>
  <c r="G9" i="3"/>
  <c r="G8" i="3"/>
  <c r="E42" i="2"/>
  <c r="D14" i="2"/>
  <c r="D13" i="2"/>
  <c r="E7" i="6" l="1"/>
  <c r="E6" i="6"/>
  <c r="I6" i="5"/>
  <c r="I7" i="5"/>
  <c r="C101" i="5"/>
  <c r="D101" i="5"/>
  <c r="D102" i="5"/>
  <c r="C102" i="5"/>
  <c r="C103" i="5"/>
  <c r="D103" i="5"/>
  <c r="D88" i="5"/>
  <c r="C88" i="5"/>
  <c r="C89" i="5"/>
  <c r="D89" i="5"/>
  <c r="C90" i="5"/>
  <c r="D90" i="5"/>
  <c r="C91" i="5"/>
  <c r="D91" i="5"/>
  <c r="D92" i="5"/>
  <c r="C92" i="5"/>
  <c r="D93" i="5"/>
  <c r="C93" i="5"/>
  <c r="D94" i="5"/>
  <c r="C94" i="5"/>
  <c r="D95" i="5"/>
  <c r="C95" i="5"/>
  <c r="D96" i="5"/>
  <c r="C96" i="5"/>
  <c r="C97" i="5"/>
  <c r="D97" i="5"/>
  <c r="C98" i="5"/>
  <c r="D98" i="5"/>
  <c r="D99" i="5"/>
  <c r="C99" i="5"/>
  <c r="C100" i="5"/>
  <c r="D100" i="5"/>
  <c r="N7" i="6"/>
  <c r="N6" i="6"/>
  <c r="F7" i="6"/>
  <c r="F6" i="6"/>
  <c r="G6" i="6"/>
  <c r="G7" i="6"/>
  <c r="H7" i="6"/>
  <c r="H6" i="6"/>
  <c r="I7" i="6"/>
  <c r="I6" i="6"/>
  <c r="J6" i="6"/>
  <c r="J7" i="6"/>
  <c r="K6" i="6"/>
  <c r="K7" i="6"/>
  <c r="L7" i="6"/>
  <c r="L6" i="6"/>
  <c r="M7" i="6"/>
  <c r="M6" i="6"/>
  <c r="F6" i="5"/>
  <c r="G6" i="5"/>
  <c r="H6" i="5"/>
  <c r="J6" i="5"/>
  <c r="K6" i="5"/>
  <c r="L6" i="5"/>
  <c r="M6" i="5"/>
  <c r="N6" i="5"/>
  <c r="E6" i="5"/>
  <c r="D8" i="6" l="1"/>
  <c r="D38" i="6"/>
  <c r="D36" i="6"/>
  <c r="D34" i="6"/>
  <c r="D32" i="6"/>
  <c r="D28" i="6"/>
  <c r="D27" i="6"/>
  <c r="D26" i="6"/>
  <c r="D25" i="6"/>
  <c r="D21" i="6"/>
  <c r="D10" i="6"/>
  <c r="D37" i="6"/>
  <c r="D35" i="6"/>
  <c r="D33" i="6"/>
  <c r="D31" i="6"/>
  <c r="D30" i="6"/>
  <c r="D29" i="6"/>
  <c r="D24" i="6"/>
  <c r="D23" i="6"/>
  <c r="D22" i="6"/>
  <c r="D20" i="6"/>
  <c r="D19" i="6"/>
  <c r="D18" i="6"/>
  <c r="D17" i="6"/>
  <c r="D16" i="6"/>
  <c r="D15" i="6"/>
  <c r="D14" i="6"/>
  <c r="D13" i="6"/>
  <c r="D12" i="6"/>
  <c r="D11" i="6"/>
  <c r="D9" i="6"/>
  <c r="D9" i="5"/>
  <c r="D13" i="5"/>
  <c r="D16" i="5"/>
  <c r="D19" i="5"/>
  <c r="D22" i="5"/>
  <c r="D26" i="5"/>
  <c r="D29" i="5"/>
  <c r="D32" i="5"/>
  <c r="D35" i="5"/>
  <c r="D24" i="5"/>
  <c r="D38" i="5"/>
  <c r="D27" i="5"/>
  <c r="D30" i="5"/>
  <c r="D33" i="5"/>
  <c r="D11" i="5"/>
  <c r="D21" i="5"/>
  <c r="D25" i="5"/>
  <c r="D12" i="5"/>
  <c r="D15" i="5"/>
  <c r="D18" i="5"/>
  <c r="D23" i="5"/>
  <c r="D28" i="5"/>
  <c r="D31" i="5"/>
  <c r="D34" i="5"/>
  <c r="D36" i="5"/>
  <c r="D10" i="5"/>
  <c r="D14" i="5"/>
  <c r="D17" i="5"/>
  <c r="D20" i="5"/>
  <c r="D37" i="5"/>
  <c r="D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<sst xmlns="http://schemas.openxmlformats.org/spreadsheetml/2006/main" count="428" uniqueCount="264">
  <si>
    <t>AI OPPORTUNITY MAP — DATA WORKBOOK</t>
  </si>
  <si>
    <t>Sample Retail Insurance Firm  |  v1.0  |  Import/export format for the AI Opportunity Map visualisation tool</t>
  </si>
  <si>
    <t>ABOUT THIS WORKBOOK</t>
  </si>
  <si>
    <t>This workbook is the source of truth for all use case scoring, factor definitions and implementation enabler data. The HTML visualisation tool reads this workbook on import and writes session changes back to it on export. The Config tab is the authoritative source for schema structure — the number and identity of impact factors, readiness factors and enablers is determined by reading the Config tables, not by hardcoded column counts.</t>
  </si>
  <si>
    <t>TAB STRUCTURE</t>
  </si>
  <si>
    <t>README</t>
  </si>
  <si>
    <t>This sheet. Overview, setup guidance and conventions.</t>
  </si>
  <si>
    <t>Config</t>
  </si>
  <si>
    <t>Engagement metadata, factor definitions, enabler count, and dropdown lookup tables. Edit this first for a new engagement. The Metadata section provides counts used by the import parser.</t>
  </si>
  <si>
    <t>Enablers</t>
  </si>
  <si>
    <t>One row per implementation enabler. Fixed fields first, then one dynamic column per readiness factor (max uplift values). Column headers in row 7 are the RF IDs (machine-readable); row 8 shows friendly names via VLOOKUP.</t>
  </si>
  <si>
    <t>Use Cases</t>
  </si>
  <si>
    <t>One row per use case. Fixed descriptive fields, Notes column, then pipe-delimited relationship fields. Dropdowns reference lookup tables in Config.</t>
  </si>
  <si>
    <t>Impact Scores</t>
  </si>
  <si>
    <t>One row per use case. Fixed columns (ID, Name), then one dynamic column per impact factor. Column headers in row 6 are IF IDs; row 7 shows friendly names. Weighted score is calculated automatically.</t>
  </si>
  <si>
    <t>Readiness Scores</t>
  </si>
  <si>
    <t>One row per use case. Same structure as Impact Scores but for readiness factors.</t>
  </si>
  <si>
    <t>SETUP SEQUENCE FOR A NEW ENGAGEMENT</t>
  </si>
  <si>
    <t>1.  Config — update engagement name/date. Add, remove or rename impact and readiness factors. Adjust default weights. Update dropdown lookup tables if needed.</t>
  </si>
  <si>
    <t>2.  Enablers — replace or update enabler rows to match the engagement. Set initial completion levels. Add/remove RF uplift columns to match the readiness factors defined in Config.</t>
  </si>
  <si>
    <t>3.  Use Cases — add or replace use case rows. Use pipe | to separate multiple values in Enables and Implementation Enablers columns.</t>
  </si>
  <si>
    <t>4.  Impact Scores — add a row for each use case (ID in col B, name auto-populates). Add columns for any new impact factors, using the IF ID as the column header in row 6.</t>
  </si>
  <si>
    <t>5.  Readiness Scores — same pattern for readiness factors.</t>
  </si>
  <si>
    <t>6.  Load the workbook into the HTML tool using the Import function.</t>
  </si>
  <si>
    <t>KEY CONVENTIONS</t>
  </si>
  <si>
    <t>•  Multi-value fields (Enables, Implementation Enablers) use pipe | as delimiter: e.g. EN01|EN03|EN07</t>
  </si>
  <si>
    <t>•  Completion levels are integers: 0=Not started, 1=Initial, 2=Partial, 3=Substantial, 4=Comprehensive</t>
  </si>
  <si>
    <t>•  Max uplift values are integers 1–4. Leave blank if an enabler does not affect a given readiness factor.</t>
  </si>
  <si>
    <t>•  Factor ID columns (IF01, RF01 etc.) in score tab row 6/7 are machine-readable — do not rename or reorder them.</t>
  </si>
  <si>
    <t>•  Yellow-shaded cells contain formulas. Do not edit them manually.</t>
  </si>
  <si>
    <t>•  The Notes column in Use Cases is for internal use only and is not exported to the visualisation tool.</t>
  </si>
  <si>
    <t>•  The Metadata section in Config is used by the import parser. Values update automatically as rows are added.</t>
  </si>
  <si>
    <t>ENGAGEMENT CONFIGURATION</t>
  </si>
  <si>
    <t>Engagement name</t>
  </si>
  <si>
    <t>Sample Retail Insurance Firm</t>
  </si>
  <si>
    <t>Version</t>
  </si>
  <si>
    <t>1.0</t>
  </si>
  <si>
    <t>Date</t>
  </si>
  <si>
    <t>Prepared by</t>
  </si>
  <si>
    <t>SCHEMA METADATA  —  used by import/export parser</t>
  </si>
  <si>
    <t>These counts are derived automatically from the factor tables below. The import parser reads these cells to determine how many columns to expect in the score tabs. Do not edit manually.</t>
  </si>
  <si>
    <t>Item</t>
  </si>
  <si>
    <t>Count</t>
  </si>
  <si>
    <t>Note</t>
  </si>
  <si>
    <t>Impact factors</t>
  </si>
  <si>
    <t>Count of defined impact factors (auto)</t>
  </si>
  <si>
    <t>Readiness factors</t>
  </si>
  <si>
    <t>Count of defined readiness factors (auto)</t>
  </si>
  <si>
    <t>Implementation enablers</t>
  </si>
  <si>
    <t>Count of enablers (auto from Enablers tab)</t>
  </si>
  <si>
    <t>Use cases</t>
  </si>
  <si>
    <t>Count of use cases (auto from Use Cases tab)</t>
  </si>
  <si>
    <t>IMPACT FACTORS</t>
  </si>
  <si>
    <t>Define the dimensions used to score business impact. Add or remove rows as needed — the Metadata section updates automatically. Default Weight is the starting weight in the visualisation tool; weights are relative (need not sum to 100).</t>
  </si>
  <si>
    <t>Factor ID</t>
  </si>
  <si>
    <t>Factor Name</t>
  </si>
  <si>
    <t>Default Weight</t>
  </si>
  <si>
    <t>Description</t>
  </si>
  <si>
    <t>IF01</t>
  </si>
  <si>
    <t>Revenue growth</t>
  </si>
  <si>
    <t>Direct contribution to top-line revenue — new income streams, higher conversion, increased wallet share.</t>
  </si>
  <si>
    <t>IF02</t>
  </si>
  <si>
    <t>Cost reduction / efficiency</t>
  </si>
  <si>
    <t>Reduction in operating cost, headcount requirement, processing time or error rates.</t>
  </si>
  <si>
    <t>IF03</t>
  </si>
  <si>
    <t>Risk reduction</t>
  </si>
  <si>
    <t>Reduction in regulatory, operational, underwriting, claims or reputational risk exposure.</t>
  </si>
  <si>
    <t>IF04</t>
  </si>
  <si>
    <t>Customer experience</t>
  </si>
  <si>
    <t>Improvement in client satisfaction, retention, NPS or perceived service quality.</t>
  </si>
  <si>
    <t>IF05</t>
  </si>
  <si>
    <t>Strategic differentiation</t>
  </si>
  <si>
    <t>Contribution to competitive positioning, brand or capability that is hard to replicate.</t>
  </si>
  <si>
    <t>IF06</t>
  </si>
  <si>
    <t>Employee experience</t>
  </si>
  <si>
    <t>Improvement in staff productivity, satisfaction, or reduction in low-value workload.</t>
  </si>
  <si>
    <t>TOTAL</t>
  </si>
  <si>
    <t>READINESS FACTORS</t>
  </si>
  <si>
    <t>Define the dimensions used to score technical readiness. Add or remove rows as needed. Base scores are entered in the Readiness Scores tab; enabler uplift is modelled in the Enablers tab.</t>
  </si>
  <si>
    <t>RF01</t>
  </si>
  <si>
    <t>Data availability &amp; quality</t>
  </si>
  <si>
    <t>Data exists, is accessible, sufficiently clean and usable within consent constraints.</t>
  </si>
  <si>
    <t>RF02</t>
  </si>
  <si>
    <t>Technical infrastructure</t>
  </si>
  <si>
    <t>Cloud, compute, storage, API connectivity and integration architecture.</t>
  </si>
  <si>
    <t>RF03</t>
  </si>
  <si>
    <t>Governance &amp; compliance readiness</t>
  </si>
  <si>
    <t>AI policies, model risk framework, regulatory approvals and audit trails.</t>
  </si>
  <si>
    <t>RF04</t>
  </si>
  <si>
    <t>Organisational &amp; process readiness</t>
  </si>
  <si>
    <t>Business processes, roles, handoff points and change management capability.</t>
  </si>
  <si>
    <t>RF05</t>
  </si>
  <si>
    <t>Skills &amp; capability</t>
  </si>
  <si>
    <t>Technical, domain and AI literacy skills available or accessible.</t>
  </si>
  <si>
    <t>RF06</t>
  </si>
  <si>
    <t>Implementation effort</t>
  </si>
  <si>
    <t>Inverse of complexity — high score means lower effort. Acts as friction factor.</t>
  </si>
  <si>
    <t>RF07</t>
  </si>
  <si>
    <t>Executive &amp; stakeholder support</t>
  </si>
  <si>
    <t>Sponsorship, budget commitment and stakeholder alignment.</t>
  </si>
  <si>
    <t>DROPDOWN LOOKUP TABLES</t>
  </si>
  <si>
    <t>Investment Themes</t>
  </si>
  <si>
    <t>Business Domains</t>
  </si>
  <si>
    <t>Current States</t>
  </si>
  <si>
    <t>Regulatory Risk</t>
  </si>
  <si>
    <t>Efficiency</t>
  </si>
  <si>
    <t>Claims</t>
  </si>
  <si>
    <t>Hypothetical</t>
  </si>
  <si>
    <t>Low</t>
  </si>
  <si>
    <t>Intelligence</t>
  </si>
  <si>
    <t>Personal Lines Underwriting</t>
  </si>
  <si>
    <t>Identified</t>
  </si>
  <si>
    <t>Medium</t>
  </si>
  <si>
    <t>Engagement</t>
  </si>
  <si>
    <t>Customer &amp; Distribution</t>
  </si>
  <si>
    <t>Piloted</t>
  </si>
  <si>
    <t>High</t>
  </si>
  <si>
    <t>Foundations</t>
  </si>
  <si>
    <t>Finance &amp; Actuarial</t>
  </si>
  <si>
    <t>Partial</t>
  </si>
  <si>
    <t>Compliance &amp; Risk</t>
  </si>
  <si>
    <t>Live</t>
  </si>
  <si>
    <t>Operations &amp; IT</t>
  </si>
  <si>
    <t>IMPLEMENTATION ENABLERS</t>
  </si>
  <si>
    <t>FIXED FIELDS</t>
  </si>
  <si>
    <t>MAX UPLIFT PER READINESS FACTOR  (at Comprehensive completion)</t>
  </si>
  <si>
    <t>Enabler ID</t>
  </si>
  <si>
    <t>Name</t>
  </si>
  <si>
    <t>Category</t>
  </si>
  <si>
    <t>Completion
Level</t>
  </si>
  <si>
    <t>Completion
Label</t>
  </si>
  <si>
    <t>Notes
(not exported)</t>
  </si>
  <si>
    <t>EN01</t>
  </si>
  <si>
    <t>Unified data platform &amp; MLOps</t>
  </si>
  <si>
    <t>Data &amp; Infrastructure</t>
  </si>
  <si>
    <t>XL</t>
  </si>
  <si>
    <t>EN02</t>
  </si>
  <si>
    <t>Data governance &amp; metadata management</t>
  </si>
  <si>
    <t>L</t>
  </si>
  <si>
    <t>EN03</t>
  </si>
  <si>
    <t>AI governance framework &amp; model risk policy</t>
  </si>
  <si>
    <t>Governance &amp; Compliance</t>
  </si>
  <si>
    <t>M</t>
  </si>
  <si>
    <t>EN04</t>
  </si>
  <si>
    <t>Cloud infrastructure &amp; API modernisation</t>
  </si>
  <si>
    <t>EN05</t>
  </si>
  <si>
    <t>AI skills &amp; literacy programme</t>
  </si>
  <si>
    <t>Skills &amp; Capability</t>
  </si>
  <si>
    <t>EN06</t>
  </si>
  <si>
    <t>Unstructured data &amp; document intelligence</t>
  </si>
  <si>
    <t>EN07</t>
  </si>
  <si>
    <t>Customer data &amp; consent management</t>
  </si>
  <si>
    <t>EN08</t>
  </si>
  <si>
    <t>Process standardisation &amp; workflow automation</t>
  </si>
  <si>
    <t>Organisational &amp; Process</t>
  </si>
  <si>
    <t>USE CASES</t>
  </si>
  <si>
    <t>One row per use case. Dropdown columns (Domain, Theme, State, Risk) reference the lookup tables in Config. Multi-value fields use pipe | delimiter. Notes column is internal only — not exported.</t>
  </si>
  <si>
    <t>Use Case ID</t>
  </si>
  <si>
    <t>Business Domain</t>
  </si>
  <si>
    <t>Investment Theme</t>
  </si>
  <si>
    <t>Current State</t>
  </si>
  <si>
    <t>Notes (not exported)</t>
  </si>
  <si>
    <t>Enables
(pipe-separated)</t>
  </si>
  <si>
    <t>Implementation Enablers
(pipe-separated)</t>
  </si>
  <si>
    <t>UC01</t>
  </si>
  <si>
    <t>Automated FNOL triage</t>
  </si>
  <si>
    <t>UC02|UC03</t>
  </si>
  <si>
    <t>EN01|EN04|EN08</t>
  </si>
  <si>
    <t>UC02</t>
  </si>
  <si>
    <t>AI-assisted claims liability assessment</t>
  </si>
  <si>
    <t>EN01|EN02|EN03|EN06</t>
  </si>
  <si>
    <t>UC03</t>
  </si>
  <si>
    <t>Claims fraud detection — motor</t>
  </si>
  <si>
    <t>UC04</t>
  </si>
  <si>
    <t>EN01|EN02|EN03</t>
  </si>
  <si>
    <t>Claims fraud detection — home &amp; contents</t>
  </si>
  <si>
    <t>UC05</t>
  </si>
  <si>
    <t>Claims document extraction &amp; summarisation</t>
  </si>
  <si>
    <t>EN06|EN08</t>
  </si>
  <si>
    <t>UC06</t>
  </si>
  <si>
    <t>Predictive UW risk scoring — motor</t>
  </si>
  <si>
    <t>UC07</t>
  </si>
  <si>
    <t>Predictive UW risk scoring — home</t>
  </si>
  <si>
    <t>UC08</t>
  </si>
  <si>
    <t>Underwriting referral assist</t>
  </si>
  <si>
    <t>EN06|EN05</t>
  </si>
  <si>
    <t>UC09</t>
  </si>
  <si>
    <t>Automated policy endorsement processing</t>
  </si>
  <si>
    <t>EN04|EN08</t>
  </si>
  <si>
    <t>UC10</t>
  </si>
  <si>
    <t>AI-powered customer self-service</t>
  </si>
  <si>
    <t>EN04|EN07|EN05</t>
  </si>
  <si>
    <t>UC11</t>
  </si>
  <si>
    <t>Personalised renewal pricing &amp; retention</t>
  </si>
  <si>
    <t>EN01|EN02|EN03|EN07</t>
  </si>
  <si>
    <t>UC12</t>
  </si>
  <si>
    <t>Next best action for inbound contacts</t>
  </si>
  <si>
    <t>EN01|EN07|EN04</t>
  </si>
  <si>
    <t>UC13</t>
  </si>
  <si>
    <t>Complaint root cause analysis</t>
  </si>
  <si>
    <t>EN06|EN02</t>
  </si>
  <si>
    <t>UC14</t>
  </si>
  <si>
    <t>Regulatory change impact assessment</t>
  </si>
  <si>
    <t>EN06|EN03</t>
  </si>
  <si>
    <t>UC15</t>
  </si>
  <si>
    <t>Automated conduct risk monitoring</t>
  </si>
  <si>
    <t>EN01|EN03|EN06</t>
  </si>
  <si>
    <t>UC16</t>
  </si>
  <si>
    <t>AI-assisted actuarial reserving</t>
  </si>
  <si>
    <t>UC17</t>
  </si>
  <si>
    <t>Finance process automation — reconciliations</t>
  </si>
  <si>
    <t>UC18</t>
  </si>
  <si>
    <t>Broker relationship scoring &amp; segmentation</t>
  </si>
  <si>
    <t>EN01|EN02</t>
  </si>
  <si>
    <t>UC19</t>
  </si>
  <si>
    <t>Intelligent policy &amp; renewal doc generation</t>
  </si>
  <si>
    <t>EN07|EN05|EN03</t>
  </si>
  <si>
    <t>UC20</t>
  </si>
  <si>
    <t>Claims repair network optimisation</t>
  </si>
  <si>
    <t>EN01|EN08</t>
  </si>
  <si>
    <t>UC21</t>
  </si>
  <si>
    <t>Telematics / UBI pricing</t>
  </si>
  <si>
    <t>EN01|EN02|EN03|EN04</t>
  </si>
  <si>
    <t>UC22</t>
  </si>
  <si>
    <t>HR &amp; workforce planning intelligence</t>
  </si>
  <si>
    <t>UC23</t>
  </si>
  <si>
    <t>AI co-pilot for contact centre agents</t>
  </si>
  <si>
    <t>EN05|EN06|EN04</t>
  </si>
  <si>
    <t>UC24</t>
  </si>
  <si>
    <t>CAT event claims surge management</t>
  </si>
  <si>
    <t>UC25</t>
  </si>
  <si>
    <t>Pricing optimisation — competitive positioning</t>
  </si>
  <si>
    <t>UC26</t>
  </si>
  <si>
    <t>Internal knowledge management assistant</t>
  </si>
  <si>
    <t>UC08|UC23</t>
  </si>
  <si>
    <t>UC27</t>
  </si>
  <si>
    <t>Vulnerable customer identification &amp; routing</t>
  </si>
  <si>
    <t>EN07|EN03|EN05</t>
  </si>
  <si>
    <t>UC28</t>
  </si>
  <si>
    <t>Supplier &amp; third-party risk monitoring</t>
  </si>
  <si>
    <t>UC29</t>
  </si>
  <si>
    <t>Automated MI &amp; management reporting</t>
  </si>
  <si>
    <t>EN01|EN04</t>
  </si>
  <si>
    <t>UC30</t>
  </si>
  <si>
    <t>Proactive churn prevention — personal lines</t>
  </si>
  <si>
    <t>EN01|EN07|EN02</t>
  </si>
  <si>
    <t>IMPACT SCORES</t>
  </si>
  <si>
    <t>One row per use case. UC ID and Name auto-populate from the Use Cases tab. Enter scores 1–5 in each factor column. The Weighted Score column recalculates automatically. Column headers in row 6 are Factor IDs (machine-readable); row 7 shows friendly names. Yellow cells contain formulas — do not edit manually.</t>
  </si>
  <si>
    <t>FIXED COLUMNS</t>
  </si>
  <si>
    <t>SCORES BY FACTOR  (1 = low  …  5 = high)</t>
  </si>
  <si>
    <t>Use Case Name</t>
  </si>
  <si>
    <t>Weighted Score
(calculated)</t>
  </si>
  <si>
    <t>WEIGHTS →</t>
  </si>
  <si>
    <t>READINESS SCORES</t>
  </si>
  <si>
    <t>Differentiation</t>
  </si>
  <si>
    <t>UC31</t>
  </si>
  <si>
    <t>Automatic HR onboarding</t>
  </si>
  <si>
    <t>← Relative weights; normalised on import (does not need to add to 100)</t>
  </si>
  <si>
    <t>These tables drive the dropdown lists in the Use Cases tab. Edit the values here to change available options. Do not leave blank rows within a list.
If you add values, you will need to update the named ranges that refer to these lists to enable lookup elsewhere.</t>
  </si>
  <si>
    <t>These values enable readiness levels to be adjusted based on assumptions about foundational investments, to help with future planning.
Each enabler can have an impact on any of the readiness factors, according to relevance, based on moving from its current level ("Completion Level") to maximum completion (Level 4, "Comprehensive")
One row per enabler. Completion level: 0=Not started … 4=Comprehensive. Max uplift columns (right section): integer 1–4, blank if no effect. The import parser identifies RF columns by their ID headers in row 7.</t>
  </si>
  <si>
    <t>Effort</t>
  </si>
  <si>
    <t>IF07</t>
  </si>
  <si>
    <t>Learning</t>
  </si>
  <si>
    <t>Supports internal learning and skills outcomes (for example, helping people become more AI-literate)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</si>
</sst>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charset val="1"/>
    </font>
    <font>
      <b/>
      <sz val="16"/>
      <color rgb="FFFFFFFF"/>
      <name val="Arial"/>
      <charset val="1"/>
    </font>
    <font>
      <sz val="11"/>
      <color rgb="FFD4EEF2"/>
      <name val="Arial"/>
      <charset val="1"/>
    </font>
    <font>
      <b/>
      <sz val="12"/>
      <color rgb="FF1B3A5C"/>
      <name val="Arial"/>
      <charset val="1"/>
    </font>
    <font>
      <sz val="10"/>
      <color rgb="FF4A5568"/>
      <name val="Arial"/>
      <charset val="1"/>
    </font>
    <font>
      <b/>
      <sz val="10"/>
      <color rgb="FF2A7D8C"/>
      <name val="Arial"/>
      <charset val="1"/>
    </font>
    <font>
      <b/>
      <sz val="12"/>
      <color rgb="FFC8760A"/>
      <name val="Arial"/>
      <charset val="1"/>
    </font>
    <font>
      <b/>
      <sz val="13"/>
      <color rgb="FFFFFFFF"/>
      <name val="Arial"/>
      <charset val="1"/>
    </font>
    <font>
      <sz val="10"/>
      <color rgb="FF111111"/>
      <name val="Arial"/>
      <charset val="1"/>
    </font>
    <font>
      <i/>
      <sz val="9"/>
      <color rgb="FF4A5568"/>
      <name val="Arial"/>
      <charset val="1"/>
    </font>
    <font>
      <b/>
      <sz val="10"/>
      <color rgb="FFFFFFFF"/>
      <name val="Arial"/>
      <charset val="1"/>
    </font>
    <font>
      <b/>
      <sz val="10"/>
      <color rgb="FF1B3A5C"/>
      <name val="Arial"/>
      <charset val="1"/>
    </font>
    <font>
      <b/>
      <sz val="10"/>
      <color rgb="FFC8760A"/>
      <name val="Arial"/>
      <charset val="1"/>
    </font>
    <font>
      <b/>
      <sz val="13"/>
      <color rgb="FFFFFFFF"/>
      <name val="Aptos Narrow"/>
      <family val="2"/>
    </font>
    <font>
      <sz val="11"/>
      <color theme="1"/>
      <name val="Aptos Narrow"/>
      <family val="2"/>
    </font>
    <font>
      <i/>
      <sz val="9"/>
      <color rgb="FF4A5568"/>
      <name val="Aptos Narrow"/>
      <family val="2"/>
    </font>
    <font>
      <b/>
      <sz val="10"/>
      <color rgb="FFFFFFFF"/>
      <name val="Aptos Narrow"/>
      <family val="2"/>
    </font>
    <font>
      <i/>
      <sz val="8"/>
      <color rgb="FF5B21B6"/>
      <name val="Aptos Narrow"/>
      <family val="2"/>
    </font>
    <font>
      <b/>
      <sz val="10"/>
      <color rgb="FF4A5568"/>
      <name val="Aptos Narrow"/>
      <family val="2"/>
    </font>
    <font>
      <i/>
      <sz val="11"/>
      <color rgb="FF1B3A5C"/>
      <name val="Aptos Narrow"/>
      <family val="2"/>
    </font>
    <font>
      <b/>
      <sz val="10"/>
      <color rgb="FF1B3A5C"/>
      <name val="Aptos Narrow"/>
      <family val="2"/>
    </font>
    <font>
      <i/>
      <sz val="10"/>
      <color rgb="FF4A5568"/>
      <name val="Aptos Narrow"/>
      <family val="2"/>
    </font>
    <font>
      <b/>
      <sz val="11"/>
      <color rgb="FF1B3A5C"/>
      <name val="Aptos Narrow"/>
      <family val="2"/>
    </font>
    <font>
      <b/>
      <sz val="11"/>
      <color rgb="FF111111"/>
      <name val="Aptos Narrow"/>
      <family val="2"/>
    </font>
    <font>
      <i/>
      <sz val="8"/>
      <color rgb="FF2A7D8C"/>
      <name val="Aptos Narrow"/>
      <family val="2"/>
    </font>
    <font>
      <sz val="10"/>
      <color rgb="FF111111"/>
      <name val="Aptos Narrow"/>
      <family val="2"/>
    </font>
    <font>
      <b/>
      <sz val="11"/>
      <color rgb="FFFFFFFF"/>
      <name val="Aptos Narrow"/>
      <family val="2"/>
    </font>
    <font>
      <b/>
      <sz val="10"/>
      <color rgb="FF111111"/>
      <name val="Aptos Narrow"/>
      <family val="2"/>
    </font>
    <font>
      <i/>
      <sz val="10"/>
      <color rgb="FF2A7D8C"/>
      <name val="Aptos Narrow"/>
      <family val="2"/>
    </font>
    <font>
      <b/>
      <sz val="11"/>
      <name val="Aptos Narrow"/>
      <family val="2"/>
    </font>
  </fonts>
  <fills count="14">
    <fill>
      <patternFill patternType="none"/>
    </fill>
    <fill>
      <patternFill patternType="gray125"/>
    </fill>
    <fill>
      <patternFill patternType="solid">
        <fgColor rgb="FF1B3A5C"/>
        <bgColor rgb="FF333333"/>
      </patternFill>
    </fill>
    <fill>
      <patternFill patternType="solid">
        <fgColor rgb="FFD4EEF2"/>
        <bgColor rgb="FFD1FAE5"/>
      </patternFill>
    </fill>
    <fill>
      <patternFill patternType="solid">
        <fgColor rgb="FFFFFFFF"/>
        <bgColor rgb="FFF5F6F7"/>
      </patternFill>
    </fill>
    <fill>
      <patternFill patternType="solid">
        <fgColor rgb="FFF5F6F7"/>
        <bgColor rgb="FFE8F8EF"/>
      </patternFill>
    </fill>
    <fill>
      <patternFill patternType="solid">
        <fgColor rgb="FFFFF9C4"/>
        <bgColor rgb="FFFDF3E3"/>
      </patternFill>
    </fill>
    <fill>
      <patternFill patternType="solid">
        <fgColor rgb="FF2A7D8C"/>
        <bgColor rgb="FF008080"/>
      </patternFill>
    </fill>
    <fill>
      <patternFill patternType="solid">
        <fgColor rgb="FF4A5568"/>
        <bgColor rgb="FF1B3A5C"/>
      </patternFill>
    </fill>
    <fill>
      <patternFill patternType="solid">
        <fgColor rgb="FFFDF3E3"/>
        <bgColor rgb="FFF5F6F7"/>
      </patternFill>
    </fill>
    <fill>
      <patternFill patternType="solid">
        <fgColor rgb="FFC8760A"/>
        <bgColor rgb="FF808000"/>
      </patternFill>
    </fill>
    <fill>
      <patternFill patternType="solid">
        <fgColor rgb="FF5B21B6"/>
        <bgColor rgb="FF800080"/>
      </patternFill>
    </fill>
    <fill>
      <patternFill patternType="solid">
        <fgColor theme="0" tint="-4.9989318521683403E-2"/>
        <bgColor rgb="FFD4EEF2"/>
      </patternFill>
    </fill>
    <fill>
      <patternFill patternType="solid">
        <fgColor theme="0" tint="-4.9989318521683403E-2"/>
        <bgColor rgb="FFE8F8EF"/>
      </patternFill>
    </fill>
  </fills>
  <borders count="7">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
      <left style="thin">
        <color rgb="FFCBD5E1"/>
      </left>
      <right/>
      <top/>
      <bottom style="thin">
        <color rgb="FFCBD5E1"/>
      </bottom>
      <diagonal/>
    </border>
    <border>
      <left/>
      <right/>
      <top/>
      <bottom style="thin">
        <color rgb="FFCBD5E1"/>
      </bottom>
      <diagonal/>
    </border>
    <border>
      <left style="thin">
        <color rgb="FFCBD5E1"/>
      </left>
      <right/>
      <top style="thin">
        <color rgb="FFCBD5E1"/>
      </top>
      <bottom style="thin">
        <color rgb="FFCBD5E1"/>
      </bottom>
      <diagonal/>
    </border>
    <border>
      <left/>
      <right style="thin">
        <color rgb="FFCBD5E1"/>
      </right>
      <top style="thin">
        <color rgb="FFCBD5E1"/>
      </top>
      <bottom style="thin">
        <color rgb="FFCBD5E1"/>
      </bottom>
      <diagonal/>
    </border>
  </borders>
  <cellStyleXfs count="1">
    <xf numFmtId="0" fontId="0" fillId="0" borderId="0"/>
  </cellStyleXfs>
  <cellXfs count="74">
    <xf numFmtId="0" fontId="0" fillId="0" borderId="0" xfId="0"/>
    <xf numFmtId="0" fontId="8" fillId="4" borderId="1" xfId="0" applyFont="1" applyFill="1" applyBorder="1" applyAlignment="1">
      <alignment horizontal="left" vertical="center"/>
    </xf>
    <xf numFmtId="0" fontId="10" fillId="2" borderId="1" xfId="0" applyFont="1" applyFill="1" applyBorder="1" applyAlignment="1">
      <alignment horizontal="center" vertical="center"/>
    </xf>
    <xf numFmtId="0" fontId="11" fillId="5"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8" fillId="5" borderId="1" xfId="0" applyFont="1" applyFill="1" applyBorder="1" applyAlignment="1">
      <alignment horizontal="left" vertical="center"/>
    </xf>
    <xf numFmtId="0" fontId="12" fillId="9" borderId="1" xfId="0" applyFont="1" applyFill="1" applyBorder="1" applyAlignment="1">
      <alignment horizontal="center" vertical="center"/>
    </xf>
    <xf numFmtId="0" fontId="4" fillId="5" borderId="1" xfId="0" applyFont="1" applyFill="1" applyBorder="1" applyAlignment="1">
      <alignment horizontal="left" vertical="center"/>
    </xf>
    <xf numFmtId="0" fontId="11" fillId="4" borderId="1" xfId="0" applyFont="1" applyFill="1" applyBorder="1" applyAlignment="1">
      <alignment horizontal="center" vertical="center"/>
    </xf>
    <xf numFmtId="0" fontId="4" fillId="4" borderId="1" xfId="0" applyFont="1" applyFill="1" applyBorder="1" applyAlignment="1">
      <alignment horizontal="left" vertical="center"/>
    </xf>
    <xf numFmtId="0" fontId="11" fillId="5" borderId="2" xfId="0" applyFont="1" applyFill="1" applyBorder="1" applyAlignment="1">
      <alignment horizontal="center" vertical="center"/>
    </xf>
    <xf numFmtId="0" fontId="8" fillId="5" borderId="2" xfId="0" applyFont="1" applyFill="1" applyBorder="1" applyAlignment="1">
      <alignment horizontal="left" vertical="center"/>
    </xf>
    <xf numFmtId="0" fontId="14" fillId="0" borderId="0" xfId="0" applyFont="1"/>
    <xf numFmtId="0" fontId="15" fillId="0" borderId="0" xfId="0" applyFont="1" applyAlignment="1">
      <alignment horizontal="left" vertical="center" wrapText="1"/>
    </xf>
    <xf numFmtId="0" fontId="16" fillId="2" borderId="1" xfId="0" applyFont="1" applyFill="1" applyBorder="1" applyAlignment="1">
      <alignment horizontal="center" vertical="center"/>
    </xf>
    <xf numFmtId="0" fontId="16" fillId="2"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8" fillId="5" borderId="1" xfId="0" applyFont="1" applyFill="1" applyBorder="1" applyAlignment="1">
      <alignment horizontal="right" vertical="center"/>
    </xf>
    <xf numFmtId="0" fontId="14" fillId="5" borderId="1" xfId="0" applyFont="1" applyFill="1" applyBorder="1"/>
    <xf numFmtId="1" fontId="19" fillId="6" borderId="1" xfId="0" applyNumberFormat="1" applyFont="1" applyFill="1" applyBorder="1" applyAlignment="1">
      <alignment horizontal="center" vertical="center"/>
    </xf>
    <xf numFmtId="0" fontId="21" fillId="5" borderId="1" xfId="0" applyFont="1" applyFill="1" applyBorder="1" applyAlignment="1">
      <alignment horizontal="left" vertical="center"/>
    </xf>
    <xf numFmtId="2" fontId="22" fillId="6" borderId="1" xfId="0" applyNumberFormat="1" applyFont="1" applyFill="1" applyBorder="1" applyAlignment="1">
      <alignment horizontal="center" vertical="center"/>
    </xf>
    <xf numFmtId="0" fontId="23" fillId="5" borderId="1" xfId="0" applyFont="1" applyFill="1" applyBorder="1" applyAlignment="1">
      <alignment horizontal="center" vertical="center"/>
    </xf>
    <xf numFmtId="0" fontId="21" fillId="4" borderId="1" xfId="0" applyFont="1" applyFill="1" applyBorder="1" applyAlignment="1">
      <alignment horizontal="left" vertical="center"/>
    </xf>
    <xf numFmtId="0" fontId="23" fillId="4" borderId="1" xfId="0" applyFont="1" applyFill="1" applyBorder="1" applyAlignment="1">
      <alignment horizontal="center" vertical="center"/>
    </xf>
    <xf numFmtId="0" fontId="20" fillId="5" borderId="1" xfId="0" applyFont="1" applyFill="1" applyBorder="1" applyAlignment="1">
      <alignment horizontal="center" vertical="center"/>
    </xf>
    <xf numFmtId="0" fontId="24" fillId="3" borderId="1" xfId="0" applyFont="1" applyFill="1" applyBorder="1" applyAlignment="1">
      <alignment horizontal="center" vertical="center" wrapText="1"/>
    </xf>
    <xf numFmtId="0" fontId="18" fillId="5" borderId="1" xfId="0" applyFont="1" applyFill="1" applyBorder="1" applyAlignment="1">
      <alignment horizontal="left" vertical="center"/>
    </xf>
    <xf numFmtId="0" fontId="25" fillId="4" borderId="1" xfId="0" applyFont="1" applyFill="1" applyBorder="1" applyAlignment="1">
      <alignment horizontal="left" vertical="center"/>
    </xf>
    <xf numFmtId="0" fontId="20" fillId="3" borderId="1" xfId="0" applyFont="1" applyFill="1" applyBorder="1" applyAlignment="1">
      <alignment horizontal="left" vertical="center"/>
    </xf>
    <xf numFmtId="0" fontId="20" fillId="6" borderId="1" xfId="0" applyFont="1" applyFill="1" applyBorder="1" applyAlignment="1">
      <alignment horizontal="center" vertical="center"/>
    </xf>
    <xf numFmtId="0" fontId="15" fillId="5" borderId="1" xfId="0" applyFont="1" applyFill="1" applyBorder="1" applyAlignment="1">
      <alignment vertical="center" wrapText="1"/>
    </xf>
    <xf numFmtId="0" fontId="25" fillId="3" borderId="1" xfId="0" applyFont="1" applyFill="1" applyBorder="1" applyAlignment="1">
      <alignment horizontal="center" vertical="center"/>
    </xf>
    <xf numFmtId="0" fontId="25" fillId="3" borderId="1" xfId="0" applyFont="1" applyFill="1" applyBorder="1" applyAlignment="1">
      <alignment horizontal="left" vertical="center"/>
    </xf>
    <xf numFmtId="0" fontId="25" fillId="4" borderId="1" xfId="0" applyFont="1" applyFill="1" applyBorder="1" applyAlignment="1">
      <alignment horizontal="center" vertical="center"/>
    </xf>
    <xf numFmtId="0" fontId="18" fillId="5" borderId="1" xfId="0" applyFont="1" applyFill="1" applyBorder="1" applyAlignment="1">
      <alignment horizontal="center" vertical="center"/>
    </xf>
    <xf numFmtId="1" fontId="14" fillId="0" borderId="0" xfId="0" applyNumberFormat="1" applyFont="1"/>
    <xf numFmtId="0" fontId="27" fillId="5" borderId="1" xfId="0" applyFont="1" applyFill="1" applyBorder="1" applyAlignment="1">
      <alignment horizontal="center" vertical="center"/>
    </xf>
    <xf numFmtId="0" fontId="25" fillId="5" borderId="1" xfId="0" applyFont="1" applyFill="1" applyBorder="1" applyAlignment="1">
      <alignment horizontal="left" vertical="center"/>
    </xf>
    <xf numFmtId="0" fontId="25" fillId="5" borderId="1" xfId="0" applyFont="1" applyFill="1" applyBorder="1" applyAlignment="1">
      <alignment horizontal="center" vertical="center"/>
    </xf>
    <xf numFmtId="0" fontId="28" fillId="3" borderId="1" xfId="0" applyFont="1" applyFill="1" applyBorder="1" applyAlignment="1">
      <alignment horizontal="center" vertical="center"/>
    </xf>
    <xf numFmtId="0" fontId="27" fillId="4" borderId="1" xfId="0" applyFont="1" applyFill="1" applyBorder="1" applyAlignment="1">
      <alignment horizontal="center" vertical="center"/>
    </xf>
    <xf numFmtId="0" fontId="27" fillId="5" borderId="2" xfId="0" applyFont="1" applyFill="1" applyBorder="1" applyAlignment="1">
      <alignment horizontal="center" vertical="center"/>
    </xf>
    <xf numFmtId="0" fontId="29" fillId="12" borderId="1" xfId="0" applyFont="1" applyFill="1" applyBorder="1" applyAlignment="1">
      <alignment horizontal="center" vertical="center"/>
    </xf>
    <xf numFmtId="0" fontId="29" fillId="13" borderId="1" xfId="0" applyFont="1" applyFill="1" applyBorder="1" applyAlignment="1">
      <alignment horizontal="center"/>
    </xf>
    <xf numFmtId="0" fontId="29" fillId="4" borderId="1" xfId="0" applyFont="1" applyFill="1" applyBorder="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xf>
    <xf numFmtId="0" fontId="25" fillId="4" borderId="0" xfId="0" applyFont="1" applyFill="1" applyAlignment="1">
      <alignment horizontal="left" vertical="center"/>
    </xf>
    <xf numFmtId="0" fontId="7" fillId="2" borderId="1" xfId="0" applyFont="1" applyFill="1" applyBorder="1" applyAlignment="1">
      <alignment horizontal="left" vertical="center"/>
    </xf>
    <xf numFmtId="0" fontId="9" fillId="0" borderId="0" xfId="0" applyFont="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3" borderId="0" xfId="0" applyFont="1" applyFill="1" applyAlignment="1">
      <alignment horizontal="left" vertical="center"/>
    </xf>
    <xf numFmtId="0" fontId="4" fillId="3" borderId="0" xfId="0" applyFont="1" applyFill="1" applyAlignment="1">
      <alignment horizontal="left" vertical="center" wrapText="1"/>
    </xf>
    <xf numFmtId="0" fontId="5" fillId="4" borderId="0" xfId="0" applyFont="1" applyFill="1" applyAlignment="1">
      <alignment horizontal="left" vertical="center"/>
    </xf>
    <xf numFmtId="0" fontId="4" fillId="4" borderId="0" xfId="0" applyFont="1" applyFill="1" applyAlignment="1">
      <alignment horizontal="left" vertical="center" wrapText="1"/>
    </xf>
    <xf numFmtId="0" fontId="6" fillId="0" borderId="0" xfId="0" applyFont="1" applyAlignment="1">
      <alignment horizontal="left" vertical="center" wrapText="1"/>
    </xf>
    <xf numFmtId="0" fontId="13" fillId="2" borderId="1" xfId="0" applyFont="1" applyFill="1" applyBorder="1" applyAlignment="1">
      <alignment horizontal="left" vertical="center"/>
    </xf>
    <xf numFmtId="0" fontId="25" fillId="4" borderId="1" xfId="0" applyFont="1" applyFill="1" applyBorder="1" applyAlignment="1">
      <alignment horizontal="left" vertical="center"/>
    </xf>
    <xf numFmtId="0" fontId="25" fillId="6" borderId="1" xfId="0" applyFont="1" applyFill="1" applyBorder="1" applyAlignment="1">
      <alignment horizontal="left" vertical="center"/>
    </xf>
    <xf numFmtId="0" fontId="26" fillId="7" borderId="1" xfId="0" applyFont="1" applyFill="1" applyBorder="1" applyAlignment="1">
      <alignment horizontal="left" vertical="center"/>
    </xf>
    <xf numFmtId="0" fontId="15" fillId="0" borderId="0" xfId="0" applyFont="1" applyAlignment="1">
      <alignment horizontal="left" vertical="center" wrapText="1"/>
    </xf>
    <xf numFmtId="0" fontId="0" fillId="0" borderId="0" xfId="0"/>
    <xf numFmtId="0" fontId="16" fillId="2" borderId="5" xfId="0" applyFont="1" applyFill="1" applyBorder="1" applyAlignment="1">
      <alignment horizontal="center" vertical="center"/>
    </xf>
    <xf numFmtId="0" fontId="16" fillId="2" borderId="6" xfId="0" applyFont="1" applyFill="1" applyBorder="1" applyAlignment="1">
      <alignment horizontal="center" vertical="center"/>
    </xf>
    <xf numFmtId="0" fontId="16" fillId="8" borderId="1" xfId="0" applyFont="1" applyFill="1" applyBorder="1" applyAlignment="1">
      <alignment horizontal="center" vertical="center"/>
    </xf>
    <xf numFmtId="0" fontId="16" fillId="7" borderId="3" xfId="0" applyFont="1" applyFill="1" applyBorder="1" applyAlignment="1">
      <alignment horizontal="center" vertical="center"/>
    </xf>
    <xf numFmtId="0" fontId="16" fillId="7" borderId="4" xfId="0" applyFont="1" applyFill="1" applyBorder="1" applyAlignment="1">
      <alignment horizontal="center" vertical="center"/>
    </xf>
    <xf numFmtId="0" fontId="16" fillId="11" borderId="3" xfId="0" applyFont="1" applyFill="1" applyBorder="1" applyAlignment="1">
      <alignment horizontal="center" vertical="center"/>
    </xf>
    <xf numFmtId="0" fontId="16" fillId="11" borderId="4" xfId="0" applyFont="1" applyFill="1" applyBorder="1" applyAlignment="1">
      <alignment horizontal="center" vertical="center"/>
    </xf>
  </cellXfs>
  <cellStyles count="1">
    <cellStyle name="Normal" xfId="0" builtinId="0"/>
  </cellStyles>
  <dxfs count="3">
    <dxf>
      <font>
        <b/>
        <i val="0"/>
        <color rgb="FF00B050"/>
      </font>
      <fill>
        <patternFill>
          <bgColor theme="6" tint="0.79998168889431442"/>
        </patternFill>
      </fill>
    </dxf>
    <dxf>
      <font>
        <b/>
        <i val="0"/>
        <color theme="9"/>
      </font>
      <fill>
        <patternFill>
          <bgColor theme="9" tint="0.79998168889431442"/>
        </patternFill>
      </fill>
    </dxf>
    <dxf>
      <font>
        <b/>
        <i val="0"/>
        <color theme="5"/>
      </font>
      <fill>
        <patternFill>
          <bgColor theme="5" tint="0.7999816888943144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6B3C"/>
      <rgbColor rgb="FF000080"/>
      <rgbColor rgb="FF808000"/>
      <rgbColor rgb="FF800080"/>
      <rgbColor rgb="FF2A7D8C"/>
      <rgbColor rgb="FFF5F6F7"/>
      <rgbColor rgb="FF808080"/>
      <rgbColor rgb="FF9999FF"/>
      <rgbColor rgb="FF993366"/>
      <rgbColor rgb="FFFFF9C4"/>
      <rgbColor rgb="FFD4EEF2"/>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E8F8EF"/>
      <rgbColor rgb="FFD1FAE5"/>
      <rgbColor rgb="FFFDF3E3"/>
      <rgbColor rgb="FF99CCFF"/>
      <rgbColor rgb="FFFF99CC"/>
      <rgbColor rgb="FFCC99FF"/>
      <rgbColor rgb="FFFEE2E2"/>
      <rgbColor rgb="FF3366FF"/>
      <rgbColor rgb="FF33CCCC"/>
      <rgbColor rgb="FF99CC00"/>
      <rgbColor rgb="FFFFCC00"/>
      <rgbColor rgb="FFFF9900"/>
      <rgbColor rgb="FFC8760A"/>
      <rgbColor rgb="FF4A5568"/>
      <rgbColor rgb="FF969696"/>
      <rgbColor rgb="FF1B3A5C"/>
      <rgbColor rgb="FF339966"/>
      <rgbColor rgb="FF111111"/>
      <rgbColor rgb="FF333300"/>
      <rgbColor rgb="FF9B1C1C"/>
      <rgbColor rgb="FF993366"/>
      <rgbColor rgb="FF5B21B6"/>
      <rgbColor rgb="FF333333"/>
      <rgbColor rgb="00003366"/>
      <rgbColor rgb="00339966"/>
      <rgbColor rgb="00003300"/>
      <rgbColor rgb="00333300"/>
      <rgbColor rgb="00993300"/>
      <rgbColor rgb="00993366"/>
      <rgbColor rgb="00333399"/>
      <rgbColor rgb="00333333"/>
    </indexedColors>
    <mruColors>
      <color rgb="FFB7FFD8"/>
      <color rgb="FFFFA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5C"/>
  </sheetPr>
  <dimension ref="B1:K31"/>
  <sheetViews>
    <sheetView showGridLines="0" topLeftCell="A11" zoomScaleNormal="100" workbookViewId="0">
      <selection activeCell="B25" sqref="B25:K25"/>
    </sheetView>
  </sheetViews>
  <sheetFormatPr defaultColWidth="8.54296875" defaultRowHeight="14.5" x14ac:dyDescent="0.35"/>
  <cols>
    <col min="1" max="1" width="3" customWidth="1"/>
    <col min="2" max="3" width="14" customWidth="1"/>
    <col min="4" max="4" width="55" customWidth="1"/>
    <col min="5" max="11" width="14" customWidth="1"/>
  </cols>
  <sheetData>
    <row r="1" spans="2:11" ht="6" customHeight="1" x14ac:dyDescent="0.35"/>
    <row r="2" spans="2:11" ht="31.5" customHeight="1" x14ac:dyDescent="0.35">
      <c r="B2" s="52" t="s">
        <v>0</v>
      </c>
      <c r="C2" s="52"/>
      <c r="D2" s="52"/>
      <c r="E2" s="52"/>
      <c r="F2" s="52"/>
      <c r="G2" s="52"/>
      <c r="H2" s="52"/>
      <c r="I2" s="52"/>
      <c r="J2" s="52"/>
      <c r="K2" s="52"/>
    </row>
    <row r="3" spans="2:11" ht="19.5" customHeight="1" x14ac:dyDescent="0.35">
      <c r="B3" s="53" t="s">
        <v>1</v>
      </c>
      <c r="C3" s="53"/>
      <c r="D3" s="53"/>
      <c r="E3" s="53"/>
      <c r="F3" s="53"/>
      <c r="G3" s="53"/>
      <c r="H3" s="53"/>
      <c r="I3" s="53"/>
      <c r="J3" s="53"/>
      <c r="K3" s="53"/>
    </row>
    <row r="4" spans="2:11" ht="6" customHeight="1" x14ac:dyDescent="0.35"/>
    <row r="5" spans="2:11" ht="21.75" customHeight="1" x14ac:dyDescent="0.35">
      <c r="B5" s="54" t="s">
        <v>2</v>
      </c>
      <c r="C5" s="54"/>
      <c r="D5" s="54"/>
      <c r="E5" s="54"/>
      <c r="F5" s="54"/>
      <c r="G5" s="54"/>
      <c r="H5" s="54"/>
      <c r="I5" s="54"/>
      <c r="J5" s="54"/>
      <c r="K5" s="54"/>
    </row>
    <row r="6" spans="2:11" ht="49.5" customHeight="1" x14ac:dyDescent="0.35">
      <c r="B6" s="55" t="s">
        <v>3</v>
      </c>
      <c r="C6" s="55"/>
      <c r="D6" s="55"/>
      <c r="E6" s="55"/>
      <c r="F6" s="55"/>
      <c r="G6" s="55"/>
      <c r="H6" s="55"/>
      <c r="I6" s="55"/>
      <c r="J6" s="55"/>
      <c r="K6" s="55"/>
    </row>
    <row r="7" spans="2:11" ht="6" customHeight="1" x14ac:dyDescent="0.35"/>
    <row r="8" spans="2:11" ht="21.75" customHeight="1" x14ac:dyDescent="0.35">
      <c r="B8" s="54" t="s">
        <v>4</v>
      </c>
      <c r="C8" s="54"/>
      <c r="D8" s="54"/>
      <c r="E8" s="54"/>
      <c r="F8" s="54"/>
      <c r="G8" s="54"/>
      <c r="H8" s="54"/>
      <c r="I8" s="54"/>
      <c r="J8" s="54"/>
      <c r="K8" s="54"/>
    </row>
    <row r="9" spans="2:11" ht="27.75" customHeight="1" x14ac:dyDescent="0.35">
      <c r="B9" s="56" t="s">
        <v>5</v>
      </c>
      <c r="C9" s="56"/>
      <c r="D9" s="57" t="s">
        <v>6</v>
      </c>
      <c r="E9" s="57"/>
      <c r="F9" s="57"/>
      <c r="G9" s="57"/>
      <c r="H9" s="57"/>
      <c r="I9" s="57"/>
      <c r="J9" s="57"/>
      <c r="K9" s="57"/>
    </row>
    <row r="10" spans="2:11" ht="27.75" customHeight="1" x14ac:dyDescent="0.35">
      <c r="B10" s="58" t="s">
        <v>7</v>
      </c>
      <c r="C10" s="58"/>
      <c r="D10" s="59" t="s">
        <v>8</v>
      </c>
      <c r="E10" s="59"/>
      <c r="F10" s="59"/>
      <c r="G10" s="59"/>
      <c r="H10" s="59"/>
      <c r="I10" s="59"/>
      <c r="J10" s="59"/>
      <c r="K10" s="59"/>
    </row>
    <row r="11" spans="2:11" ht="27.75" customHeight="1" x14ac:dyDescent="0.35">
      <c r="B11" s="56" t="s">
        <v>9</v>
      </c>
      <c r="C11" s="56"/>
      <c r="D11" s="57" t="s">
        <v>10</v>
      </c>
      <c r="E11" s="57"/>
      <c r="F11" s="57"/>
      <c r="G11" s="57"/>
      <c r="H11" s="57"/>
      <c r="I11" s="57"/>
      <c r="J11" s="57"/>
      <c r="K11" s="57"/>
    </row>
    <row r="12" spans="2:11" ht="27.75" customHeight="1" x14ac:dyDescent="0.35">
      <c r="B12" s="58" t="s">
        <v>11</v>
      </c>
      <c r="C12" s="58"/>
      <c r="D12" s="59" t="s">
        <v>12</v>
      </c>
      <c r="E12" s="59"/>
      <c r="F12" s="59"/>
      <c r="G12" s="59"/>
      <c r="H12" s="59"/>
      <c r="I12" s="59"/>
      <c r="J12" s="59"/>
      <c r="K12" s="59"/>
    </row>
    <row r="13" spans="2:11" ht="27.75" customHeight="1" x14ac:dyDescent="0.35">
      <c r="B13" s="56" t="s">
        <v>13</v>
      </c>
      <c r="C13" s="56"/>
      <c r="D13" s="57" t="s">
        <v>14</v>
      </c>
      <c r="E13" s="57"/>
      <c r="F13" s="57"/>
      <c r="G13" s="57"/>
      <c r="H13" s="57"/>
      <c r="I13" s="57"/>
      <c r="J13" s="57"/>
      <c r="K13" s="57"/>
    </row>
    <row r="14" spans="2:11" ht="27.75" customHeight="1" x14ac:dyDescent="0.35">
      <c r="B14" s="58" t="s">
        <v>15</v>
      </c>
      <c r="C14" s="58"/>
      <c r="D14" s="59" t="s">
        <v>16</v>
      </c>
      <c r="E14" s="59"/>
      <c r="F14" s="59"/>
      <c r="G14" s="59"/>
      <c r="H14" s="59"/>
      <c r="I14" s="59"/>
      <c r="J14" s="59"/>
      <c r="K14" s="59"/>
    </row>
    <row r="15" spans="2:11" ht="6" customHeight="1" x14ac:dyDescent="0.35"/>
    <row r="16" spans="2:11" ht="21.75" customHeight="1" x14ac:dyDescent="0.35">
      <c r="B16" s="54" t="s">
        <v>17</v>
      </c>
      <c r="C16" s="54"/>
      <c r="D16" s="54"/>
      <c r="E16" s="54"/>
      <c r="F16" s="54"/>
      <c r="G16" s="54"/>
      <c r="H16" s="54"/>
      <c r="I16" s="54"/>
      <c r="J16" s="54"/>
      <c r="K16" s="54"/>
    </row>
    <row r="17" spans="2:11" ht="25.5" customHeight="1" x14ac:dyDescent="0.35">
      <c r="B17" s="55" t="s">
        <v>18</v>
      </c>
      <c r="C17" s="55"/>
      <c r="D17" s="55"/>
      <c r="E17" s="55"/>
      <c r="F17" s="55"/>
      <c r="G17" s="55"/>
      <c r="H17" s="55"/>
      <c r="I17" s="55"/>
      <c r="J17" s="55"/>
      <c r="K17" s="55"/>
    </row>
    <row r="18" spans="2:11" ht="25.5" customHeight="1" x14ac:dyDescent="0.35">
      <c r="B18" s="55" t="s">
        <v>19</v>
      </c>
      <c r="C18" s="55"/>
      <c r="D18" s="55"/>
      <c r="E18" s="55"/>
      <c r="F18" s="55"/>
      <c r="G18" s="55"/>
      <c r="H18" s="55"/>
      <c r="I18" s="55"/>
      <c r="J18" s="55"/>
      <c r="K18" s="55"/>
    </row>
    <row r="19" spans="2:11" ht="25.5" customHeight="1" x14ac:dyDescent="0.35">
      <c r="B19" s="55" t="s">
        <v>20</v>
      </c>
      <c r="C19" s="55"/>
      <c r="D19" s="55"/>
      <c r="E19" s="55"/>
      <c r="F19" s="55"/>
      <c r="G19" s="55"/>
      <c r="H19" s="55"/>
      <c r="I19" s="55"/>
      <c r="J19" s="55"/>
      <c r="K19" s="55"/>
    </row>
    <row r="20" spans="2:11" ht="25.5" customHeight="1" x14ac:dyDescent="0.35">
      <c r="B20" s="55" t="s">
        <v>21</v>
      </c>
      <c r="C20" s="55"/>
      <c r="D20" s="55"/>
      <c r="E20" s="55"/>
      <c r="F20" s="55"/>
      <c r="G20" s="55"/>
      <c r="H20" s="55"/>
      <c r="I20" s="55"/>
      <c r="J20" s="55"/>
      <c r="K20" s="55"/>
    </row>
    <row r="21" spans="2:11" ht="25.5" customHeight="1" x14ac:dyDescent="0.35">
      <c r="B21" s="55" t="s">
        <v>22</v>
      </c>
      <c r="C21" s="55"/>
      <c r="D21" s="55"/>
      <c r="E21" s="55"/>
      <c r="F21" s="55"/>
      <c r="G21" s="55"/>
      <c r="H21" s="55"/>
      <c r="I21" s="55"/>
      <c r="J21" s="55"/>
      <c r="K21" s="55"/>
    </row>
    <row r="22" spans="2:11" ht="25.5" customHeight="1" x14ac:dyDescent="0.35">
      <c r="B22" s="55" t="s">
        <v>23</v>
      </c>
      <c r="C22" s="55"/>
      <c r="D22" s="55"/>
      <c r="E22" s="55"/>
      <c r="F22" s="55"/>
      <c r="G22" s="55"/>
      <c r="H22" s="55"/>
      <c r="I22" s="55"/>
      <c r="J22" s="55"/>
      <c r="K22" s="55"/>
    </row>
    <row r="23" spans="2:11" ht="6" customHeight="1" x14ac:dyDescent="0.35"/>
    <row r="24" spans="2:11" ht="21.75" customHeight="1" x14ac:dyDescent="0.35">
      <c r="B24" s="60" t="s">
        <v>24</v>
      </c>
      <c r="C24" s="60"/>
      <c r="D24" s="60"/>
      <c r="E24" s="60"/>
      <c r="F24" s="60"/>
      <c r="G24" s="60"/>
      <c r="H24" s="60"/>
      <c r="I24" s="60"/>
      <c r="J24" s="60"/>
      <c r="K24" s="60"/>
    </row>
    <row r="25" spans="2:11" ht="24" customHeight="1" x14ac:dyDescent="0.35">
      <c r="B25" s="55" t="s">
        <v>25</v>
      </c>
      <c r="C25" s="55"/>
      <c r="D25" s="55"/>
      <c r="E25" s="55"/>
      <c r="F25" s="55"/>
      <c r="G25" s="55"/>
      <c r="H25" s="55"/>
      <c r="I25" s="55"/>
      <c r="J25" s="55"/>
      <c r="K25" s="55"/>
    </row>
    <row r="26" spans="2:11" ht="24" customHeight="1" x14ac:dyDescent="0.35">
      <c r="B26" s="55" t="s">
        <v>26</v>
      </c>
      <c r="C26" s="55"/>
      <c r="D26" s="55"/>
      <c r="E26" s="55"/>
      <c r="F26" s="55"/>
      <c r="G26" s="55"/>
      <c r="H26" s="55"/>
      <c r="I26" s="55"/>
      <c r="J26" s="55"/>
      <c r="K26" s="55"/>
    </row>
    <row r="27" spans="2:11" ht="24" customHeight="1" x14ac:dyDescent="0.35">
      <c r="B27" s="55" t="s">
        <v>27</v>
      </c>
      <c r="C27" s="55"/>
      <c r="D27" s="55"/>
      <c r="E27" s="55"/>
      <c r="F27" s="55"/>
      <c r="G27" s="55"/>
      <c r="H27" s="55"/>
      <c r="I27" s="55"/>
      <c r="J27" s="55"/>
      <c r="K27" s="55"/>
    </row>
    <row r="28" spans="2:11" ht="24" customHeight="1" x14ac:dyDescent="0.35">
      <c r="B28" s="55" t="s">
        <v>28</v>
      </c>
      <c r="C28" s="55"/>
      <c r="D28" s="55"/>
      <c r="E28" s="55"/>
      <c r="F28" s="55"/>
      <c r="G28" s="55"/>
      <c r="H28" s="55"/>
      <c r="I28" s="55"/>
      <c r="J28" s="55"/>
      <c r="K28" s="55"/>
    </row>
    <row r="29" spans="2:11" ht="24" customHeight="1" x14ac:dyDescent="0.35">
      <c r="B29" s="55" t="s">
        <v>29</v>
      </c>
      <c r="C29" s="55"/>
      <c r="D29" s="55"/>
      <c r="E29" s="55"/>
      <c r="F29" s="55"/>
      <c r="G29" s="55"/>
      <c r="H29" s="55"/>
      <c r="I29" s="55"/>
      <c r="J29" s="55"/>
      <c r="K29" s="55"/>
    </row>
    <row r="30" spans="2:11" ht="24" customHeight="1" x14ac:dyDescent="0.35">
      <c r="B30" s="55" t="s">
        <v>30</v>
      </c>
      <c r="C30" s="55"/>
      <c r="D30" s="55"/>
      <c r="E30" s="55"/>
      <c r="F30" s="55"/>
      <c r="G30" s="55"/>
      <c r="H30" s="55"/>
      <c r="I30" s="55"/>
      <c r="J30" s="55"/>
      <c r="K30" s="55"/>
    </row>
    <row r="31" spans="2:11" ht="24" customHeight="1" x14ac:dyDescent="0.35">
      <c r="B31" s="55" t="s">
        <v>31</v>
      </c>
      <c r="C31" s="55"/>
      <c r="D31" s="55"/>
      <c r="E31" s="55"/>
      <c r="F31" s="55"/>
      <c r="G31" s="55"/>
      <c r="H31" s="55"/>
      <c r="I31" s="55"/>
      <c r="J31" s="55"/>
      <c r="K31" s="55"/>
    </row>
  </sheetData>
  <mergeCells count="32">
    <mergeCell ref="B27:K27"/>
    <mergeCell ref="B28:K28"/>
    <mergeCell ref="B29:K29"/>
    <mergeCell ref="B30:K30"/>
    <mergeCell ref="B31:K31"/>
    <mergeCell ref="B21:K21"/>
    <mergeCell ref="B22:K22"/>
    <mergeCell ref="B24:K24"/>
    <mergeCell ref="B25:K25"/>
    <mergeCell ref="B26:K26"/>
    <mergeCell ref="B16:K16"/>
    <mergeCell ref="B17:K17"/>
    <mergeCell ref="B18:K18"/>
    <mergeCell ref="B19:K19"/>
    <mergeCell ref="B20:K20"/>
    <mergeCell ref="B12:C12"/>
    <mergeCell ref="D12:K12"/>
    <mergeCell ref="B13:C13"/>
    <mergeCell ref="D13:K13"/>
    <mergeCell ref="B14:C14"/>
    <mergeCell ref="D14:K14"/>
    <mergeCell ref="B9:C9"/>
    <mergeCell ref="D9:K9"/>
    <mergeCell ref="B10:C10"/>
    <mergeCell ref="D10:K10"/>
    <mergeCell ref="B11:C11"/>
    <mergeCell ref="D11:K11"/>
    <mergeCell ref="B2:K2"/>
    <mergeCell ref="B3:K3"/>
    <mergeCell ref="B5:K5"/>
    <mergeCell ref="B6:K6"/>
    <mergeCell ref="B8:K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A7D8C"/>
  </sheetPr>
  <dimension ref="B2:H53"/>
  <sheetViews>
    <sheetView showGridLines="0" topLeftCell="A33" zoomScaleNormal="100" workbookViewId="0">
      <selection activeCell="C22" sqref="C22"/>
    </sheetView>
  </sheetViews>
  <sheetFormatPr defaultColWidth="8.54296875" defaultRowHeight="14.5" x14ac:dyDescent="0.35"/>
  <cols>
    <col min="1" max="1" width="3" style="12" customWidth="1"/>
    <col min="2" max="2" width="3.81640625" style="12" customWidth="1"/>
    <col min="3" max="3" width="22" style="12" customWidth="1"/>
    <col min="4" max="4" width="34" style="12" customWidth="1"/>
    <col min="5" max="5" width="14" style="12" customWidth="1"/>
    <col min="6" max="6" width="88.26953125" style="12" customWidth="1"/>
    <col min="7" max="7" width="20" style="12" customWidth="1"/>
    <col min="8" max="8" width="14" style="12" customWidth="1"/>
    <col min="9" max="9" width="18" style="12" customWidth="1"/>
    <col min="10" max="16384" width="8.54296875" style="12"/>
  </cols>
  <sheetData>
    <row r="2" spans="2:8" ht="21.75" customHeight="1" x14ac:dyDescent="0.35">
      <c r="B2" s="61" t="s">
        <v>32</v>
      </c>
      <c r="C2" s="61"/>
      <c r="D2" s="61"/>
      <c r="E2" s="61"/>
      <c r="F2" s="61"/>
      <c r="G2" s="61"/>
      <c r="H2" s="61"/>
    </row>
    <row r="4" spans="2:8" ht="18" customHeight="1" x14ac:dyDescent="0.35">
      <c r="C4" s="28" t="s">
        <v>33</v>
      </c>
      <c r="D4" s="62" t="s">
        <v>34</v>
      </c>
      <c r="E4" s="62"/>
      <c r="F4" s="62"/>
      <c r="G4" s="62"/>
      <c r="H4" s="62"/>
    </row>
    <row r="5" spans="2:8" ht="18" customHeight="1" x14ac:dyDescent="0.35">
      <c r="C5" s="28" t="s">
        <v>35</v>
      </c>
      <c r="D5" s="62" t="s">
        <v>36</v>
      </c>
      <c r="E5" s="62"/>
      <c r="F5" s="62"/>
      <c r="G5" s="62"/>
      <c r="H5" s="62"/>
    </row>
    <row r="6" spans="2:8" ht="18" customHeight="1" x14ac:dyDescent="0.35">
      <c r="C6" s="28" t="s">
        <v>37</v>
      </c>
      <c r="D6" s="63"/>
      <c r="E6" s="63"/>
      <c r="F6" s="63"/>
      <c r="G6" s="63"/>
      <c r="H6" s="63"/>
    </row>
    <row r="7" spans="2:8" ht="18" customHeight="1" x14ac:dyDescent="0.35">
      <c r="C7" s="28" t="s">
        <v>38</v>
      </c>
      <c r="D7" s="63"/>
      <c r="E7" s="63"/>
      <c r="F7" s="63"/>
      <c r="G7" s="63"/>
      <c r="H7" s="63"/>
    </row>
    <row r="9" spans="2:8" ht="7.5" customHeight="1" x14ac:dyDescent="0.35"/>
    <row r="10" spans="2:8" ht="21.75" customHeight="1" x14ac:dyDescent="0.35">
      <c r="B10" s="64" t="s">
        <v>39</v>
      </c>
      <c r="C10" s="64"/>
      <c r="D10" s="64"/>
      <c r="E10" s="64"/>
      <c r="F10" s="64"/>
      <c r="G10" s="64"/>
      <c r="H10" s="64"/>
    </row>
    <row r="11" spans="2:8" ht="31.5" customHeight="1" x14ac:dyDescent="0.35">
      <c r="B11" s="65" t="s">
        <v>40</v>
      </c>
      <c r="C11" s="65"/>
      <c r="D11" s="65"/>
      <c r="E11" s="65"/>
      <c r="F11" s="65"/>
      <c r="G11" s="65"/>
      <c r="H11" s="65"/>
    </row>
    <row r="12" spans="2:8" ht="18" customHeight="1" x14ac:dyDescent="0.35">
      <c r="C12" s="14" t="s">
        <v>41</v>
      </c>
      <c r="D12" s="14" t="s">
        <v>42</v>
      </c>
      <c r="E12" s="67" t="s">
        <v>43</v>
      </c>
      <c r="F12" s="68"/>
    </row>
    <row r="13" spans="2:8" ht="18" customHeight="1" x14ac:dyDescent="0.35">
      <c r="C13" s="30" t="s">
        <v>44</v>
      </c>
      <c r="D13" s="31">
        <f>COUNTIF(C22:C47,"IF*")</f>
        <v>7</v>
      </c>
      <c r="E13" s="21" t="s">
        <v>45</v>
      </c>
      <c r="F13" s="32"/>
    </row>
    <row r="14" spans="2:8" ht="18" customHeight="1" x14ac:dyDescent="0.35">
      <c r="C14" s="30" t="s">
        <v>46</v>
      </c>
      <c r="D14" s="31">
        <f>COUNTIF(C35:C66,"RF*")</f>
        <v>7</v>
      </c>
      <c r="E14" s="21" t="s">
        <v>47</v>
      </c>
      <c r="F14" s="32"/>
    </row>
    <row r="15" spans="2:8" ht="18" customHeight="1" x14ac:dyDescent="0.35">
      <c r="C15" s="30" t="s">
        <v>48</v>
      </c>
      <c r="D15" s="31">
        <f>COUNTIF(Enablers!B7:B106,"EN*")</f>
        <v>9</v>
      </c>
      <c r="E15" s="21" t="s">
        <v>49</v>
      </c>
      <c r="F15" s="32"/>
    </row>
    <row r="16" spans="2:8" ht="18" customHeight="1" x14ac:dyDescent="0.35">
      <c r="C16" s="30" t="s">
        <v>50</v>
      </c>
      <c r="D16" s="31">
        <f>COUNTIF('Use Cases'!B7:B506,"UC*")</f>
        <v>31</v>
      </c>
      <c r="E16" s="21" t="s">
        <v>51</v>
      </c>
      <c r="F16" s="32"/>
    </row>
    <row r="18" spans="2:8" ht="7.5" customHeight="1" x14ac:dyDescent="0.35"/>
    <row r="19" spans="2:8" ht="21.75" customHeight="1" x14ac:dyDescent="0.35">
      <c r="B19" s="64" t="s">
        <v>52</v>
      </c>
      <c r="C19" s="64"/>
      <c r="D19" s="64"/>
      <c r="E19" s="64"/>
      <c r="F19" s="64"/>
      <c r="G19" s="64"/>
      <c r="H19" s="64"/>
    </row>
    <row r="20" spans="2:8" ht="31.5" customHeight="1" x14ac:dyDescent="0.35">
      <c r="B20" s="65" t="s">
        <v>53</v>
      </c>
      <c r="C20" s="65"/>
      <c r="D20" s="65"/>
      <c r="E20" s="65"/>
      <c r="F20" s="65"/>
      <c r="G20" s="65"/>
      <c r="H20" s="65"/>
    </row>
    <row r="21" spans="2:8" ht="18" customHeight="1" x14ac:dyDescent="0.35">
      <c r="C21" s="14" t="s">
        <v>54</v>
      </c>
      <c r="D21" s="14" t="s">
        <v>55</v>
      </c>
      <c r="E21" s="14" t="s">
        <v>56</v>
      </c>
      <c r="F21" s="14" t="s">
        <v>57</v>
      </c>
      <c r="G21" s="66"/>
      <c r="H21" s="66"/>
    </row>
    <row r="22" spans="2:8" ht="15.75" customHeight="1" x14ac:dyDescent="0.35">
      <c r="C22" s="33" t="s">
        <v>58</v>
      </c>
      <c r="D22" s="34" t="s">
        <v>59</v>
      </c>
      <c r="E22" s="33">
        <v>20</v>
      </c>
      <c r="F22" s="34" t="s">
        <v>60</v>
      </c>
      <c r="G22" s="66"/>
      <c r="H22" s="66"/>
    </row>
    <row r="23" spans="2:8" ht="15.75" customHeight="1" x14ac:dyDescent="0.35">
      <c r="C23" s="35" t="s">
        <v>61</v>
      </c>
      <c r="D23" s="29" t="s">
        <v>62</v>
      </c>
      <c r="E23" s="35">
        <v>20</v>
      </c>
      <c r="F23" s="29" t="s">
        <v>63</v>
      </c>
      <c r="G23" s="66"/>
      <c r="H23" s="66"/>
    </row>
    <row r="24" spans="2:8" ht="15.75" customHeight="1" x14ac:dyDescent="0.35">
      <c r="C24" s="33" t="s">
        <v>64</v>
      </c>
      <c r="D24" s="34" t="s">
        <v>65</v>
      </c>
      <c r="E24" s="33">
        <v>20</v>
      </c>
      <c r="F24" s="34" t="s">
        <v>66</v>
      </c>
      <c r="G24" s="66"/>
      <c r="H24" s="66"/>
    </row>
    <row r="25" spans="2:8" ht="15.75" customHeight="1" x14ac:dyDescent="0.35">
      <c r="C25" s="35" t="s">
        <v>67</v>
      </c>
      <c r="D25" s="29" t="s">
        <v>68</v>
      </c>
      <c r="E25" s="35">
        <v>15</v>
      </c>
      <c r="F25" s="29" t="s">
        <v>69</v>
      </c>
      <c r="G25" s="66"/>
      <c r="H25" s="66"/>
    </row>
    <row r="26" spans="2:8" ht="15.75" customHeight="1" x14ac:dyDescent="0.35">
      <c r="C26" s="33" t="s">
        <v>70</v>
      </c>
      <c r="D26" s="34" t="s">
        <v>71</v>
      </c>
      <c r="E26" s="33">
        <v>15</v>
      </c>
      <c r="F26" s="34" t="s">
        <v>72</v>
      </c>
      <c r="G26" s="66"/>
      <c r="H26" s="66"/>
    </row>
    <row r="27" spans="2:8" ht="15.75" customHeight="1" x14ac:dyDescent="0.35">
      <c r="C27" s="35" t="s">
        <v>73</v>
      </c>
      <c r="D27" s="29" t="s">
        <v>74</v>
      </c>
      <c r="E27" s="35">
        <v>10</v>
      </c>
      <c r="F27" s="29" t="s">
        <v>75</v>
      </c>
      <c r="G27" s="66"/>
      <c r="H27" s="66"/>
    </row>
    <row r="28" spans="2:8" ht="15.75" customHeight="1" x14ac:dyDescent="0.35">
      <c r="C28" s="35" t="s">
        <v>261</v>
      </c>
      <c r="D28" s="49" t="s">
        <v>262</v>
      </c>
      <c r="E28" s="35">
        <v>20</v>
      </c>
      <c r="F28" s="49" t="s">
        <v>263</v>
      </c>
      <c r="G28"/>
      <c r="H28"/>
    </row>
    <row r="29" spans="2:8" ht="18" customHeight="1" x14ac:dyDescent="0.35">
      <c r="C29" s="36" t="s">
        <v>76</v>
      </c>
      <c r="E29" s="26">
        <f>SUM(E22:E28)</f>
        <v>120</v>
      </c>
      <c r="F29" s="65" t="s">
        <v>257</v>
      </c>
      <c r="G29" s="65"/>
      <c r="H29" s="65"/>
    </row>
    <row r="31" spans="2:8" ht="7.5" customHeight="1" x14ac:dyDescent="0.35"/>
    <row r="32" spans="2:8" ht="21.75" customHeight="1" x14ac:dyDescent="0.35">
      <c r="B32" s="64" t="s">
        <v>77</v>
      </c>
      <c r="C32" s="64"/>
      <c r="D32" s="64"/>
      <c r="E32" s="64"/>
      <c r="F32" s="64"/>
      <c r="G32" s="64"/>
      <c r="H32" s="64"/>
    </row>
    <row r="33" spans="2:8" ht="31.5" customHeight="1" x14ac:dyDescent="0.35">
      <c r="B33" s="65" t="s">
        <v>78</v>
      </c>
      <c r="C33" s="65"/>
      <c r="D33" s="65"/>
      <c r="E33" s="65"/>
      <c r="F33" s="65"/>
      <c r="G33" s="65"/>
      <c r="H33" s="65"/>
    </row>
    <row r="34" spans="2:8" ht="18" customHeight="1" x14ac:dyDescent="0.35">
      <c r="C34" s="14" t="s">
        <v>54</v>
      </c>
      <c r="D34" s="14" t="s">
        <v>55</v>
      </c>
      <c r="E34" s="14" t="s">
        <v>56</v>
      </c>
      <c r="F34" s="14" t="s">
        <v>57</v>
      </c>
      <c r="G34" s="66"/>
      <c r="H34" s="66"/>
    </row>
    <row r="35" spans="2:8" ht="15.75" customHeight="1" x14ac:dyDescent="0.35">
      <c r="C35" s="33" t="s">
        <v>79</v>
      </c>
      <c r="D35" s="34" t="s">
        <v>80</v>
      </c>
      <c r="E35" s="33">
        <v>20</v>
      </c>
      <c r="F35" s="34" t="s">
        <v>81</v>
      </c>
      <c r="G35" s="66"/>
      <c r="H35" s="66"/>
    </row>
    <row r="36" spans="2:8" ht="15.75" customHeight="1" x14ac:dyDescent="0.35">
      <c r="C36" s="35" t="s">
        <v>82</v>
      </c>
      <c r="D36" s="29" t="s">
        <v>83</v>
      </c>
      <c r="E36" s="35">
        <v>15</v>
      </c>
      <c r="F36" s="29" t="s">
        <v>84</v>
      </c>
      <c r="G36" s="66"/>
      <c r="H36" s="66"/>
    </row>
    <row r="37" spans="2:8" ht="15.75" customHeight="1" x14ac:dyDescent="0.35">
      <c r="C37" s="33" t="s">
        <v>85</v>
      </c>
      <c r="D37" s="34" t="s">
        <v>86</v>
      </c>
      <c r="E37" s="33">
        <v>20</v>
      </c>
      <c r="F37" s="34" t="s">
        <v>87</v>
      </c>
      <c r="G37" s="66"/>
      <c r="H37" s="66"/>
    </row>
    <row r="38" spans="2:8" ht="15.75" customHeight="1" x14ac:dyDescent="0.35">
      <c r="C38" s="35" t="s">
        <v>88</v>
      </c>
      <c r="D38" s="29" t="s">
        <v>89</v>
      </c>
      <c r="E38" s="35">
        <v>15</v>
      </c>
      <c r="F38" s="29" t="s">
        <v>90</v>
      </c>
      <c r="G38" s="66"/>
      <c r="H38" s="66"/>
    </row>
    <row r="39" spans="2:8" ht="15.75" customHeight="1" x14ac:dyDescent="0.35">
      <c r="C39" s="33" t="s">
        <v>91</v>
      </c>
      <c r="D39" s="34" t="s">
        <v>92</v>
      </c>
      <c r="E39" s="33">
        <v>10</v>
      </c>
      <c r="F39" s="34" t="s">
        <v>93</v>
      </c>
      <c r="G39" s="66"/>
      <c r="H39" s="66"/>
    </row>
    <row r="40" spans="2:8" ht="15.75" customHeight="1" x14ac:dyDescent="0.35">
      <c r="C40" s="35" t="s">
        <v>94</v>
      </c>
      <c r="D40" s="29" t="s">
        <v>95</v>
      </c>
      <c r="E40" s="35">
        <v>10</v>
      </c>
      <c r="F40" s="29" t="s">
        <v>96</v>
      </c>
      <c r="G40" s="66"/>
      <c r="H40" s="66"/>
    </row>
    <row r="41" spans="2:8" ht="15.75" customHeight="1" x14ac:dyDescent="0.35">
      <c r="C41" s="33" t="s">
        <v>97</v>
      </c>
      <c r="D41" s="34" t="s">
        <v>98</v>
      </c>
      <c r="E41" s="33">
        <v>10</v>
      </c>
      <c r="F41" s="34" t="s">
        <v>99</v>
      </c>
      <c r="G41" s="66"/>
      <c r="H41" s="66"/>
    </row>
    <row r="42" spans="2:8" ht="18" customHeight="1" x14ac:dyDescent="0.35">
      <c r="C42" s="36" t="s">
        <v>76</v>
      </c>
      <c r="E42" s="26">
        <f>SUM(E35:E41)</f>
        <v>100</v>
      </c>
      <c r="F42" s="65" t="s">
        <v>257</v>
      </c>
      <c r="G42" s="65"/>
      <c r="H42" s="65"/>
    </row>
    <row r="44" spans="2:8" ht="7.5" customHeight="1" x14ac:dyDescent="0.35"/>
    <row r="45" spans="2:8" ht="21.75" customHeight="1" x14ac:dyDescent="0.35">
      <c r="B45" s="64" t="s">
        <v>100</v>
      </c>
      <c r="C45" s="64"/>
      <c r="D45" s="64"/>
      <c r="E45" s="64"/>
      <c r="F45" s="64"/>
      <c r="G45" s="64"/>
      <c r="H45" s="64"/>
    </row>
    <row r="46" spans="2:8" ht="33.75" customHeight="1" x14ac:dyDescent="0.35">
      <c r="B46" s="65" t="s">
        <v>258</v>
      </c>
      <c r="C46" s="65"/>
      <c r="D46" s="65"/>
      <c r="E46" s="65"/>
      <c r="F46" s="65"/>
      <c r="G46" s="65"/>
      <c r="H46" s="65"/>
    </row>
    <row r="47" spans="2:8" ht="18" customHeight="1" x14ac:dyDescent="0.35">
      <c r="C47" s="14" t="s">
        <v>101</v>
      </c>
      <c r="D47" s="14" t="s">
        <v>102</v>
      </c>
      <c r="E47" s="14" t="s">
        <v>104</v>
      </c>
      <c r="F47" s="14" t="s">
        <v>103</v>
      </c>
    </row>
    <row r="48" spans="2:8" ht="15.75" customHeight="1" x14ac:dyDescent="0.35">
      <c r="C48" s="34" t="s">
        <v>105</v>
      </c>
      <c r="D48" s="34" t="s">
        <v>106</v>
      </c>
      <c r="E48" s="34" t="s">
        <v>108</v>
      </c>
      <c r="F48" s="34" t="s">
        <v>107</v>
      </c>
    </row>
    <row r="49" spans="3:6" ht="15.75" customHeight="1" x14ac:dyDescent="0.35">
      <c r="C49" s="29" t="s">
        <v>109</v>
      </c>
      <c r="D49" s="29" t="s">
        <v>110</v>
      </c>
      <c r="E49" s="29" t="s">
        <v>112</v>
      </c>
      <c r="F49" s="29" t="s">
        <v>111</v>
      </c>
    </row>
    <row r="50" spans="3:6" ht="15.75" customHeight="1" x14ac:dyDescent="0.35">
      <c r="C50" s="34" t="s">
        <v>113</v>
      </c>
      <c r="D50" s="34" t="s">
        <v>114</v>
      </c>
      <c r="E50" s="34" t="s">
        <v>116</v>
      </c>
      <c r="F50" s="34" t="s">
        <v>115</v>
      </c>
    </row>
    <row r="51" spans="3:6" ht="15.75" customHeight="1" x14ac:dyDescent="0.35">
      <c r="C51" s="29" t="s">
        <v>117</v>
      </c>
      <c r="D51" s="29" t="s">
        <v>118</v>
      </c>
      <c r="F51" s="29" t="s">
        <v>119</v>
      </c>
    </row>
    <row r="52" spans="3:6" ht="15.75" customHeight="1" x14ac:dyDescent="0.35">
      <c r="C52" s="34" t="s">
        <v>254</v>
      </c>
      <c r="D52" s="34" t="s">
        <v>120</v>
      </c>
      <c r="F52" s="34" t="s">
        <v>121</v>
      </c>
    </row>
    <row r="53" spans="3:6" ht="15.75" customHeight="1" x14ac:dyDescent="0.35">
      <c r="D53" s="29" t="s">
        <v>122</v>
      </c>
    </row>
  </sheetData>
  <mergeCells count="31">
    <mergeCell ref="G40:H40"/>
    <mergeCell ref="G41:H41"/>
    <mergeCell ref="F42:H42"/>
    <mergeCell ref="B45:H45"/>
    <mergeCell ref="B46:H46"/>
    <mergeCell ref="G35:H35"/>
    <mergeCell ref="G36:H36"/>
    <mergeCell ref="G37:H37"/>
    <mergeCell ref="G38:H38"/>
    <mergeCell ref="G39:H39"/>
    <mergeCell ref="G27:H27"/>
    <mergeCell ref="F29:H29"/>
    <mergeCell ref="B32:H32"/>
    <mergeCell ref="B33:H33"/>
    <mergeCell ref="G34:H34"/>
    <mergeCell ref="G22:H22"/>
    <mergeCell ref="G23:H23"/>
    <mergeCell ref="G24:H24"/>
    <mergeCell ref="G25:H25"/>
    <mergeCell ref="G26:H26"/>
    <mergeCell ref="B19:H19"/>
    <mergeCell ref="B20:H20"/>
    <mergeCell ref="G21:H21"/>
    <mergeCell ref="B10:H10"/>
    <mergeCell ref="B11:H11"/>
    <mergeCell ref="E12:F12"/>
    <mergeCell ref="B2:H2"/>
    <mergeCell ref="D4:H4"/>
    <mergeCell ref="D5:H5"/>
    <mergeCell ref="D6:H6"/>
    <mergeCell ref="D7:H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8760A"/>
  </sheetPr>
  <dimension ref="B2:R16"/>
  <sheetViews>
    <sheetView showGridLines="0" zoomScaleNormal="100" workbookViewId="0">
      <pane xSplit="3" ySplit="7" topLeftCell="D8" activePane="bottomRight" state="frozen"/>
      <selection pane="topRight" activeCell="D1" sqref="D1"/>
      <selection pane="bottomLeft" activeCell="A9" sqref="A9"/>
      <selection pane="bottomRight" activeCell="O8" sqref="O8"/>
    </sheetView>
  </sheetViews>
  <sheetFormatPr defaultColWidth="8.54296875" defaultRowHeight="14.5" x14ac:dyDescent="0.35"/>
  <cols>
    <col min="1" max="1" width="3" style="12" customWidth="1"/>
    <col min="2" max="2" width="10" style="12" customWidth="1"/>
    <col min="3" max="3" width="40" style="12" customWidth="1"/>
    <col min="4" max="4" width="24" style="12" customWidth="1"/>
    <col min="5" max="5" width="9" style="12" customWidth="1"/>
    <col min="6" max="6" width="12" style="12" customWidth="1"/>
    <col min="7" max="7" width="16" style="12" customWidth="1"/>
    <col min="8" max="8" width="30" style="12" customWidth="1"/>
    <col min="9" max="13" width="11" style="12" customWidth="1"/>
    <col min="14" max="14" width="11.7265625" style="12" customWidth="1"/>
    <col min="15" max="15" width="11" style="12" customWidth="1"/>
    <col min="16" max="16" width="11.54296875" style="12" customWidth="1"/>
    <col min="17" max="17" width="11.26953125" style="12" customWidth="1"/>
    <col min="18" max="18" width="12" style="12" customWidth="1"/>
    <col min="19" max="16384" width="8.54296875" style="12"/>
  </cols>
  <sheetData>
    <row r="2" spans="2:18" ht="27.75" customHeight="1" x14ac:dyDescent="0.35">
      <c r="B2" s="61" t="s">
        <v>123</v>
      </c>
      <c r="C2" s="61"/>
      <c r="D2" s="61"/>
      <c r="E2" s="61"/>
      <c r="F2" s="61"/>
      <c r="G2" s="61"/>
      <c r="H2" s="61"/>
      <c r="I2" s="61"/>
      <c r="J2" s="61"/>
      <c r="K2" s="61"/>
      <c r="L2" s="61"/>
      <c r="M2" s="61"/>
      <c r="N2" s="61"/>
      <c r="O2" s="61"/>
    </row>
    <row r="3" spans="2:18" ht="38.25" customHeight="1" x14ac:dyDescent="0.35">
      <c r="B3" s="65" t="s">
        <v>259</v>
      </c>
      <c r="C3" s="65"/>
      <c r="D3" s="65"/>
      <c r="E3" s="65"/>
      <c r="F3" s="65"/>
      <c r="G3" s="65"/>
      <c r="H3" s="65"/>
      <c r="I3" s="65"/>
      <c r="J3" s="65"/>
      <c r="K3" s="65"/>
      <c r="L3" s="65"/>
      <c r="M3" s="65"/>
      <c r="N3" s="65"/>
      <c r="O3" s="65"/>
    </row>
    <row r="5" spans="2:18" ht="18" customHeight="1" x14ac:dyDescent="0.35">
      <c r="B5" s="69" t="s">
        <v>124</v>
      </c>
      <c r="C5" s="69"/>
      <c r="D5" s="69"/>
      <c r="E5" s="69"/>
      <c r="F5" s="69"/>
      <c r="G5" s="69"/>
      <c r="H5" s="69"/>
      <c r="I5" s="70" t="s">
        <v>125</v>
      </c>
      <c r="J5" s="71"/>
      <c r="K5" s="71"/>
      <c r="L5" s="71"/>
      <c r="M5" s="71"/>
      <c r="N5" s="71"/>
      <c r="O5" s="71"/>
      <c r="P5" s="71"/>
      <c r="Q5" s="71"/>
      <c r="R5" s="71"/>
    </row>
    <row r="6" spans="2:18" ht="18" customHeight="1" x14ac:dyDescent="0.35">
      <c r="I6" s="14" t="str" cm="1">
        <f t="array" ref="I6">IFERROR(INDEX(ReadinessFactors, COLUMN()-8, 1), "")</f>
        <v>RF01</v>
      </c>
      <c r="J6" s="14" t="str" cm="1">
        <f t="array" ref="J6">IFERROR(INDEX(ReadinessFactors, COLUMN()-8, 1), "")</f>
        <v>RF02</v>
      </c>
      <c r="K6" s="14" t="str" cm="1">
        <f t="array" ref="K6">IFERROR(INDEX(ReadinessFactors, COLUMN()-8, 1), "")</f>
        <v>RF03</v>
      </c>
      <c r="L6" s="14" t="str" cm="1">
        <f t="array" ref="L6">IFERROR(INDEX(ReadinessFactors, COLUMN()-8, 1), "")</f>
        <v>RF04</v>
      </c>
      <c r="M6" s="14" t="str" cm="1">
        <f t="array" ref="M6">IFERROR(INDEX(ReadinessFactors, COLUMN()-8, 1), "")</f>
        <v>RF05</v>
      </c>
      <c r="N6" s="14" t="str" cm="1">
        <f t="array" ref="N6">IFERROR(INDEX(ReadinessFactors, COLUMN()-8, 1), "")</f>
        <v>RF06</v>
      </c>
      <c r="O6" s="14" t="str" cm="1">
        <f t="array" ref="O6">IFERROR(INDEX(ReadinessFactors, COLUMN()-8, 1), "")</f>
        <v>RF07</v>
      </c>
      <c r="P6" s="14" t="str" cm="1">
        <f t="array" ref="P6">IFERROR(INDEX(ReadinessFactors, COLUMN()-8, 1), "")</f>
        <v/>
      </c>
      <c r="Q6" s="14" t="str" cm="1">
        <f t="array" ref="Q6">IFERROR(INDEX(ReadinessFactors, COLUMN()-8, 1), "")</f>
        <v/>
      </c>
      <c r="R6" s="14" t="str" cm="1">
        <f t="array" ref="R6">IFERROR(INDEX(ReadinessFactors, COLUMN()-8, 1), "")</f>
        <v/>
      </c>
    </row>
    <row r="7" spans="2:18" ht="31.5" customHeight="1" x14ac:dyDescent="0.35">
      <c r="B7" s="14" t="s">
        <v>126</v>
      </c>
      <c r="C7" s="14" t="s">
        <v>127</v>
      </c>
      <c r="D7" s="14" t="s">
        <v>128</v>
      </c>
      <c r="E7" s="15" t="s">
        <v>260</v>
      </c>
      <c r="F7" s="15" t="s">
        <v>129</v>
      </c>
      <c r="G7" s="15" t="s">
        <v>130</v>
      </c>
      <c r="H7" s="15" t="s">
        <v>131</v>
      </c>
      <c r="I7" s="27" t="str">
        <f t="shared" ref="I7:R7" si="0">IFERROR(VLOOKUP(I6,ReadinessFactors,2,FALSE()),I6)</f>
        <v>Data availability &amp; quality</v>
      </c>
      <c r="J7" s="27" t="str">
        <f t="shared" si="0"/>
        <v>Technical infrastructure</v>
      </c>
      <c r="K7" s="27" t="str">
        <f t="shared" si="0"/>
        <v>Governance &amp; compliance readiness</v>
      </c>
      <c r="L7" s="27" t="str">
        <f t="shared" si="0"/>
        <v>Organisational &amp; process readiness</v>
      </c>
      <c r="M7" s="27" t="str">
        <f t="shared" si="0"/>
        <v>Skills &amp; capability</v>
      </c>
      <c r="N7" s="27" t="str">
        <f t="shared" si="0"/>
        <v>Implementation effort</v>
      </c>
      <c r="O7" s="27" t="str">
        <f t="shared" si="0"/>
        <v>Executive &amp; stakeholder support</v>
      </c>
      <c r="P7" s="27" t="str">
        <f t="shared" si="0"/>
        <v/>
      </c>
      <c r="Q7" s="27" t="str">
        <f t="shared" si="0"/>
        <v/>
      </c>
      <c r="R7" s="27" t="str">
        <f t="shared" si="0"/>
        <v/>
      </c>
    </row>
    <row r="8" spans="2:18" ht="18" customHeight="1" x14ac:dyDescent="0.35">
      <c r="B8" s="38" t="s">
        <v>132</v>
      </c>
      <c r="C8" s="39" t="s">
        <v>133</v>
      </c>
      <c r="D8" s="39" t="s">
        <v>134</v>
      </c>
      <c r="E8" s="40" t="s">
        <v>135</v>
      </c>
      <c r="F8" s="40">
        <v>1</v>
      </c>
      <c r="G8" s="41" t="str">
        <f t="shared" ref="G8:G15" si="1">IF(F8=0,"Not started",IF(F8=1,"Initial",IF(F8=2,"Partial",IF(F8=3,"Substantial","Comprehensive"))))</f>
        <v>Initial</v>
      </c>
      <c r="H8" s="39"/>
      <c r="I8" s="44">
        <v>2</v>
      </c>
      <c r="J8" s="45">
        <v>2</v>
      </c>
      <c r="K8" s="44"/>
      <c r="L8" s="45"/>
      <c r="M8" s="45"/>
      <c r="N8" s="44">
        <v>1</v>
      </c>
      <c r="O8" s="45"/>
      <c r="P8" s="45"/>
      <c r="Q8" s="45"/>
      <c r="R8" s="45"/>
    </row>
    <row r="9" spans="2:18" ht="18" customHeight="1" x14ac:dyDescent="0.35">
      <c r="B9" s="42" t="s">
        <v>136</v>
      </c>
      <c r="C9" s="29" t="s">
        <v>137</v>
      </c>
      <c r="D9" s="29" t="s">
        <v>134</v>
      </c>
      <c r="E9" s="35" t="s">
        <v>138</v>
      </c>
      <c r="F9" s="35">
        <v>2</v>
      </c>
      <c r="G9" s="41" t="str">
        <f t="shared" si="1"/>
        <v>Partial</v>
      </c>
      <c r="H9" s="29"/>
      <c r="I9" s="46">
        <v>2</v>
      </c>
      <c r="J9" s="46"/>
      <c r="K9" s="46">
        <v>1</v>
      </c>
      <c r="L9" s="47">
        <v>1</v>
      </c>
      <c r="M9" s="48"/>
      <c r="N9" s="47"/>
      <c r="O9" s="46"/>
      <c r="P9" s="46"/>
      <c r="Q9" s="46"/>
      <c r="R9" s="46"/>
    </row>
    <row r="10" spans="2:18" ht="18" customHeight="1" x14ac:dyDescent="0.35">
      <c r="B10" s="38" t="s">
        <v>139</v>
      </c>
      <c r="C10" s="39" t="s">
        <v>140</v>
      </c>
      <c r="D10" s="39" t="s">
        <v>141</v>
      </c>
      <c r="E10" s="40" t="s">
        <v>142</v>
      </c>
      <c r="F10" s="40">
        <v>2</v>
      </c>
      <c r="G10" s="41" t="str">
        <f t="shared" si="1"/>
        <v>Partial</v>
      </c>
      <c r="H10" s="39"/>
      <c r="I10" s="44"/>
      <c r="J10" s="45"/>
      <c r="K10" s="44">
        <v>3</v>
      </c>
      <c r="L10" s="45"/>
      <c r="M10" s="45"/>
      <c r="N10" s="44"/>
      <c r="O10" s="45">
        <v>1</v>
      </c>
      <c r="P10" s="45"/>
      <c r="Q10" s="45"/>
      <c r="R10" s="45"/>
    </row>
    <row r="11" spans="2:18" ht="18" customHeight="1" x14ac:dyDescent="0.35">
      <c r="B11" s="42" t="s">
        <v>143</v>
      </c>
      <c r="C11" s="29" t="s">
        <v>144</v>
      </c>
      <c r="D11" s="29" t="s">
        <v>134</v>
      </c>
      <c r="E11" s="35" t="s">
        <v>135</v>
      </c>
      <c r="F11" s="35">
        <v>2</v>
      </c>
      <c r="G11" s="41" t="str">
        <f t="shared" si="1"/>
        <v>Partial</v>
      </c>
      <c r="H11" s="29"/>
      <c r="I11" s="46"/>
      <c r="J11" s="46">
        <v>3</v>
      </c>
      <c r="K11" s="46"/>
      <c r="L11" s="47"/>
      <c r="M11" s="48"/>
      <c r="N11" s="47">
        <v>2</v>
      </c>
      <c r="O11" s="46"/>
      <c r="P11" s="46"/>
      <c r="Q11" s="46"/>
      <c r="R11" s="46"/>
    </row>
    <row r="12" spans="2:18" ht="18" customHeight="1" x14ac:dyDescent="0.35">
      <c r="B12" s="38" t="s">
        <v>145</v>
      </c>
      <c r="C12" s="39" t="s">
        <v>146</v>
      </c>
      <c r="D12" s="39" t="s">
        <v>147</v>
      </c>
      <c r="E12" s="40" t="s">
        <v>142</v>
      </c>
      <c r="F12" s="40">
        <v>1</v>
      </c>
      <c r="G12" s="41" t="str">
        <f t="shared" si="1"/>
        <v>Initial</v>
      </c>
      <c r="H12" s="39"/>
      <c r="I12" s="44"/>
      <c r="J12" s="45"/>
      <c r="K12" s="44"/>
      <c r="L12" s="45">
        <v>1</v>
      </c>
      <c r="M12" s="45">
        <v>3</v>
      </c>
      <c r="N12" s="44"/>
      <c r="O12" s="45">
        <v>1</v>
      </c>
      <c r="P12" s="45"/>
      <c r="Q12" s="45"/>
      <c r="R12" s="45"/>
    </row>
    <row r="13" spans="2:18" ht="18" customHeight="1" x14ac:dyDescent="0.35">
      <c r="B13" s="42" t="s">
        <v>148</v>
      </c>
      <c r="C13" s="29" t="s">
        <v>149</v>
      </c>
      <c r="D13" s="29" t="s">
        <v>134</v>
      </c>
      <c r="E13" s="35" t="s">
        <v>138</v>
      </c>
      <c r="F13" s="35">
        <v>0</v>
      </c>
      <c r="G13" s="41" t="str">
        <f t="shared" si="1"/>
        <v>Not started</v>
      </c>
      <c r="H13" s="29"/>
      <c r="I13" s="46">
        <v>2</v>
      </c>
      <c r="J13" s="46">
        <v>1</v>
      </c>
      <c r="K13" s="46"/>
      <c r="L13" s="47"/>
      <c r="M13" s="48"/>
      <c r="N13" s="47">
        <v>1</v>
      </c>
      <c r="O13" s="46"/>
      <c r="P13" s="46"/>
      <c r="Q13" s="46"/>
      <c r="R13" s="46"/>
    </row>
    <row r="14" spans="2:18" ht="18" customHeight="1" x14ac:dyDescent="0.35">
      <c r="B14" s="38" t="s">
        <v>150</v>
      </c>
      <c r="C14" s="39" t="s">
        <v>151</v>
      </c>
      <c r="D14" s="39" t="s">
        <v>134</v>
      </c>
      <c r="E14" s="40" t="s">
        <v>138</v>
      </c>
      <c r="F14" s="40">
        <v>1</v>
      </c>
      <c r="G14" s="41" t="str">
        <f t="shared" si="1"/>
        <v>Initial</v>
      </c>
      <c r="H14" s="39"/>
      <c r="I14" s="44">
        <v>2</v>
      </c>
      <c r="J14" s="45"/>
      <c r="K14" s="44">
        <v>1</v>
      </c>
      <c r="L14" s="45"/>
      <c r="M14" s="45"/>
      <c r="N14" s="44">
        <v>1</v>
      </c>
      <c r="O14" s="45"/>
      <c r="P14" s="45"/>
      <c r="Q14" s="45"/>
      <c r="R14" s="45"/>
    </row>
    <row r="15" spans="2:18" ht="18" customHeight="1" x14ac:dyDescent="0.35">
      <c r="B15" s="42" t="s">
        <v>152</v>
      </c>
      <c r="C15" s="29" t="s">
        <v>153</v>
      </c>
      <c r="D15" s="29" t="s">
        <v>154</v>
      </c>
      <c r="E15" s="35" t="s">
        <v>138</v>
      </c>
      <c r="F15" s="35">
        <v>2</v>
      </c>
      <c r="G15" s="41" t="str">
        <f t="shared" si="1"/>
        <v>Partial</v>
      </c>
      <c r="H15" s="29"/>
      <c r="I15" s="46"/>
      <c r="J15" s="46"/>
      <c r="K15" s="46"/>
      <c r="L15" s="47">
        <v>3</v>
      </c>
      <c r="M15" s="48"/>
      <c r="N15" s="47">
        <v>1</v>
      </c>
      <c r="O15" s="46"/>
      <c r="P15" s="46"/>
      <c r="Q15" s="46"/>
      <c r="R15" s="46"/>
    </row>
    <row r="16" spans="2:18" x14ac:dyDescent="0.35">
      <c r="B16" s="43"/>
    </row>
  </sheetData>
  <mergeCells count="4">
    <mergeCell ref="B2:O2"/>
    <mergeCell ref="B3:O3"/>
    <mergeCell ref="B5:H5"/>
    <mergeCell ref="I5:R5"/>
  </mergeCells>
  <dataValidations count="2">
    <dataValidation type="whole" showErrorMessage="1" errorTitle="Invalid" error="Must be 0–4" sqref="F8:F15" xr:uid="{00000000-0002-0000-0200-000000000000}">
      <formula1>0</formula1>
      <formula2>4</formula2>
    </dataValidation>
    <dataValidation type="list" sqref="E8:E15" xr:uid="{00000000-0002-0000-0200-000001000000}">
      <formula1>"S,M,L,XL"</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A6B3C"/>
  </sheetPr>
  <dimension ref="B2:M106"/>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I37" sqref="I37"/>
    </sheetView>
  </sheetViews>
  <sheetFormatPr defaultColWidth="8.54296875" defaultRowHeight="14.5" x14ac:dyDescent="0.35"/>
  <cols>
    <col min="1" max="1" width="3" customWidth="1"/>
    <col min="2" max="2" width="10" customWidth="1"/>
    <col min="3" max="3" width="38" customWidth="1"/>
    <col min="4" max="4" width="26" customWidth="1"/>
    <col min="5" max="5" width="18" customWidth="1"/>
    <col min="6" max="6" width="16" customWidth="1"/>
    <col min="7" max="7" width="12" customWidth="1"/>
    <col min="8" max="8" width="36" customWidth="1"/>
    <col min="9" max="9" width="28" customWidth="1"/>
    <col min="10" max="10" width="36" customWidth="1"/>
  </cols>
  <sheetData>
    <row r="2" spans="2:13" ht="27.75" customHeight="1" x14ac:dyDescent="0.35">
      <c r="B2" s="50" t="s">
        <v>155</v>
      </c>
      <c r="C2" s="50"/>
      <c r="D2" s="50"/>
      <c r="E2" s="50"/>
      <c r="F2" s="50"/>
      <c r="G2" s="50"/>
      <c r="H2" s="50"/>
      <c r="I2" s="50"/>
      <c r="J2" s="50"/>
      <c r="K2" s="50"/>
      <c r="L2" s="50"/>
      <c r="M2" s="50"/>
    </row>
    <row r="3" spans="2:13" ht="30" customHeight="1" x14ac:dyDescent="0.35">
      <c r="B3" s="51" t="s">
        <v>156</v>
      </c>
      <c r="C3" s="51"/>
      <c r="D3" s="51"/>
      <c r="E3" s="51"/>
      <c r="F3" s="51"/>
      <c r="G3" s="51"/>
      <c r="H3" s="51"/>
      <c r="I3" s="51"/>
      <c r="J3" s="51"/>
      <c r="K3" s="51"/>
      <c r="L3" s="51"/>
      <c r="M3" s="51"/>
    </row>
    <row r="6" spans="2:13" ht="31.5" customHeight="1" x14ac:dyDescent="0.35">
      <c r="B6" s="4" t="s">
        <v>157</v>
      </c>
      <c r="C6" s="2" t="s">
        <v>127</v>
      </c>
      <c r="D6" s="2" t="s">
        <v>158</v>
      </c>
      <c r="E6" s="2" t="s">
        <v>159</v>
      </c>
      <c r="F6" s="2" t="s">
        <v>160</v>
      </c>
      <c r="G6" s="4" t="s">
        <v>104</v>
      </c>
      <c r="H6" s="2" t="s">
        <v>161</v>
      </c>
      <c r="I6" s="4" t="s">
        <v>162</v>
      </c>
      <c r="J6" s="4" t="s">
        <v>163</v>
      </c>
    </row>
    <row r="7" spans="2:13" ht="18" customHeight="1" x14ac:dyDescent="0.35">
      <c r="B7" s="3" t="s">
        <v>164</v>
      </c>
      <c r="C7" s="5" t="s">
        <v>165</v>
      </c>
      <c r="D7" s="5" t="s">
        <v>106</v>
      </c>
      <c r="E7" s="5" t="s">
        <v>105</v>
      </c>
      <c r="F7" s="5" t="s">
        <v>111</v>
      </c>
      <c r="G7" s="6" t="s">
        <v>112</v>
      </c>
      <c r="H7" s="7"/>
      <c r="I7" s="5" t="s">
        <v>166</v>
      </c>
      <c r="J7" s="5" t="s">
        <v>167</v>
      </c>
    </row>
    <row r="8" spans="2:13" ht="18" customHeight="1" x14ac:dyDescent="0.35">
      <c r="B8" s="8" t="s">
        <v>168</v>
      </c>
      <c r="C8" s="1" t="s">
        <v>169</v>
      </c>
      <c r="D8" s="1" t="s">
        <v>106</v>
      </c>
      <c r="E8" s="1" t="s">
        <v>109</v>
      </c>
      <c r="F8" s="1" t="s">
        <v>107</v>
      </c>
      <c r="G8" s="6" t="s">
        <v>116</v>
      </c>
      <c r="H8" s="9"/>
      <c r="I8" s="1"/>
      <c r="J8" s="1" t="s">
        <v>170</v>
      </c>
    </row>
    <row r="9" spans="2:13" ht="18" customHeight="1" x14ac:dyDescent="0.35">
      <c r="B9" s="3" t="s">
        <v>171</v>
      </c>
      <c r="C9" s="5" t="s">
        <v>172</v>
      </c>
      <c r="D9" s="5" t="s">
        <v>106</v>
      </c>
      <c r="E9" s="5" t="s">
        <v>109</v>
      </c>
      <c r="F9" s="5" t="s">
        <v>115</v>
      </c>
      <c r="G9" s="6" t="s">
        <v>116</v>
      </c>
      <c r="H9" s="7"/>
      <c r="I9" s="5" t="s">
        <v>173</v>
      </c>
      <c r="J9" s="5" t="s">
        <v>174</v>
      </c>
    </row>
    <row r="10" spans="2:13" ht="18" customHeight="1" x14ac:dyDescent="0.35">
      <c r="B10" s="8" t="s">
        <v>173</v>
      </c>
      <c r="C10" s="1" t="s">
        <v>175</v>
      </c>
      <c r="D10" s="1" t="s">
        <v>106</v>
      </c>
      <c r="E10" s="1" t="s">
        <v>109</v>
      </c>
      <c r="F10" s="1" t="s">
        <v>107</v>
      </c>
      <c r="G10" s="6" t="s">
        <v>116</v>
      </c>
      <c r="H10" s="9"/>
      <c r="I10" s="1"/>
      <c r="J10" s="1" t="s">
        <v>174</v>
      </c>
    </row>
    <row r="11" spans="2:13" ht="18" customHeight="1" x14ac:dyDescent="0.35">
      <c r="B11" s="3" t="s">
        <v>176</v>
      </c>
      <c r="C11" s="5" t="s">
        <v>177</v>
      </c>
      <c r="D11" s="5" t="s">
        <v>106</v>
      </c>
      <c r="E11" s="5" t="s">
        <v>105</v>
      </c>
      <c r="F11" s="5" t="s">
        <v>111</v>
      </c>
      <c r="G11" s="6" t="s">
        <v>108</v>
      </c>
      <c r="H11" s="7"/>
      <c r="I11" s="5" t="s">
        <v>168</v>
      </c>
      <c r="J11" s="5" t="s">
        <v>178</v>
      </c>
    </row>
    <row r="12" spans="2:13" ht="18" customHeight="1" x14ac:dyDescent="0.35">
      <c r="B12" s="8" t="s">
        <v>179</v>
      </c>
      <c r="C12" s="1" t="s">
        <v>180</v>
      </c>
      <c r="D12" s="1" t="s">
        <v>110</v>
      </c>
      <c r="E12" s="1" t="s">
        <v>109</v>
      </c>
      <c r="F12" s="1" t="s">
        <v>107</v>
      </c>
      <c r="G12" s="6" t="s">
        <v>116</v>
      </c>
      <c r="H12" s="9"/>
      <c r="I12" s="1" t="s">
        <v>181</v>
      </c>
      <c r="J12" s="1" t="s">
        <v>174</v>
      </c>
    </row>
    <row r="13" spans="2:13" ht="18" customHeight="1" x14ac:dyDescent="0.35">
      <c r="B13" s="3" t="s">
        <v>181</v>
      </c>
      <c r="C13" s="5" t="s">
        <v>182</v>
      </c>
      <c r="D13" s="5" t="s">
        <v>110</v>
      </c>
      <c r="E13" s="5" t="s">
        <v>109</v>
      </c>
      <c r="F13" s="5" t="s">
        <v>107</v>
      </c>
      <c r="G13" s="6" t="s">
        <v>116</v>
      </c>
      <c r="H13" s="7"/>
      <c r="I13" s="5"/>
      <c r="J13" s="5" t="s">
        <v>174</v>
      </c>
    </row>
    <row r="14" spans="2:13" ht="18" customHeight="1" x14ac:dyDescent="0.35">
      <c r="B14" s="8" t="s">
        <v>183</v>
      </c>
      <c r="C14" s="1" t="s">
        <v>184</v>
      </c>
      <c r="D14" s="1" t="s">
        <v>110</v>
      </c>
      <c r="E14" s="1" t="s">
        <v>105</v>
      </c>
      <c r="F14" s="1" t="s">
        <v>111</v>
      </c>
      <c r="G14" s="6" t="s">
        <v>112</v>
      </c>
      <c r="H14" s="9"/>
      <c r="I14" s="1"/>
      <c r="J14" s="1" t="s">
        <v>185</v>
      </c>
    </row>
    <row r="15" spans="2:13" ht="18" customHeight="1" x14ac:dyDescent="0.35">
      <c r="B15" s="3" t="s">
        <v>186</v>
      </c>
      <c r="C15" s="5" t="s">
        <v>187</v>
      </c>
      <c r="D15" s="5" t="s">
        <v>122</v>
      </c>
      <c r="E15" s="5" t="s">
        <v>105</v>
      </c>
      <c r="F15" s="5" t="s">
        <v>111</v>
      </c>
      <c r="G15" s="6" t="s">
        <v>108</v>
      </c>
      <c r="H15" s="7"/>
      <c r="I15" s="5"/>
      <c r="J15" s="5" t="s">
        <v>188</v>
      </c>
    </row>
    <row r="16" spans="2:13" ht="18" customHeight="1" x14ac:dyDescent="0.35">
      <c r="B16" s="8" t="s">
        <v>189</v>
      </c>
      <c r="C16" s="1" t="s">
        <v>190</v>
      </c>
      <c r="D16" s="1" t="s">
        <v>114</v>
      </c>
      <c r="E16" s="1" t="s">
        <v>113</v>
      </c>
      <c r="F16" s="1" t="s">
        <v>111</v>
      </c>
      <c r="G16" s="6" t="s">
        <v>112</v>
      </c>
      <c r="H16" s="9"/>
      <c r="I16" s="1"/>
      <c r="J16" s="1" t="s">
        <v>191</v>
      </c>
    </row>
    <row r="17" spans="2:10" ht="18" customHeight="1" x14ac:dyDescent="0.35">
      <c r="B17" s="3" t="s">
        <v>192</v>
      </c>
      <c r="C17" s="5" t="s">
        <v>193</v>
      </c>
      <c r="D17" s="5" t="s">
        <v>114</v>
      </c>
      <c r="E17" s="5" t="s">
        <v>109</v>
      </c>
      <c r="F17" s="5" t="s">
        <v>107</v>
      </c>
      <c r="G17" s="6" t="s">
        <v>116</v>
      </c>
      <c r="H17" s="7"/>
      <c r="I17" s="5"/>
      <c r="J17" s="5" t="s">
        <v>194</v>
      </c>
    </row>
    <row r="18" spans="2:10" ht="18" customHeight="1" x14ac:dyDescent="0.35">
      <c r="B18" s="8" t="s">
        <v>195</v>
      </c>
      <c r="C18" s="1" t="s">
        <v>196</v>
      </c>
      <c r="D18" s="1" t="s">
        <v>114</v>
      </c>
      <c r="E18" s="1" t="s">
        <v>113</v>
      </c>
      <c r="F18" s="1" t="s">
        <v>107</v>
      </c>
      <c r="G18" s="6" t="s">
        <v>112</v>
      </c>
      <c r="H18" s="9"/>
      <c r="I18" s="1"/>
      <c r="J18" s="1" t="s">
        <v>197</v>
      </c>
    </row>
    <row r="19" spans="2:10" ht="18" customHeight="1" x14ac:dyDescent="0.35">
      <c r="B19" s="3" t="s">
        <v>198</v>
      </c>
      <c r="C19" s="5" t="s">
        <v>199</v>
      </c>
      <c r="D19" s="5" t="s">
        <v>120</v>
      </c>
      <c r="E19" s="5" t="s">
        <v>109</v>
      </c>
      <c r="F19" s="5" t="s">
        <v>111</v>
      </c>
      <c r="G19" s="6" t="s">
        <v>112</v>
      </c>
      <c r="H19" s="7"/>
      <c r="I19" s="5"/>
      <c r="J19" s="5" t="s">
        <v>200</v>
      </c>
    </row>
    <row r="20" spans="2:10" ht="18" customHeight="1" x14ac:dyDescent="0.35">
      <c r="B20" s="8" t="s">
        <v>201</v>
      </c>
      <c r="C20" s="1" t="s">
        <v>202</v>
      </c>
      <c r="D20" s="1" t="s">
        <v>120</v>
      </c>
      <c r="E20" s="1" t="s">
        <v>105</v>
      </c>
      <c r="F20" s="1" t="s">
        <v>111</v>
      </c>
      <c r="G20" s="6" t="s">
        <v>108</v>
      </c>
      <c r="H20" s="9"/>
      <c r="I20" s="1"/>
      <c r="J20" s="1" t="s">
        <v>203</v>
      </c>
    </row>
    <row r="21" spans="2:10" ht="18" customHeight="1" x14ac:dyDescent="0.35">
      <c r="B21" s="3" t="s">
        <v>204</v>
      </c>
      <c r="C21" s="5" t="s">
        <v>205</v>
      </c>
      <c r="D21" s="5" t="s">
        <v>120</v>
      </c>
      <c r="E21" s="5" t="s">
        <v>109</v>
      </c>
      <c r="F21" s="5" t="s">
        <v>107</v>
      </c>
      <c r="G21" s="6" t="s">
        <v>116</v>
      </c>
      <c r="H21" s="7"/>
      <c r="I21" s="5"/>
      <c r="J21" s="5" t="s">
        <v>206</v>
      </c>
    </row>
    <row r="22" spans="2:10" ht="18" customHeight="1" x14ac:dyDescent="0.35">
      <c r="B22" s="8" t="s">
        <v>207</v>
      </c>
      <c r="C22" s="1" t="s">
        <v>208</v>
      </c>
      <c r="D22" s="1" t="s">
        <v>118</v>
      </c>
      <c r="E22" s="1" t="s">
        <v>109</v>
      </c>
      <c r="F22" s="1" t="s">
        <v>107</v>
      </c>
      <c r="G22" s="6" t="s">
        <v>116</v>
      </c>
      <c r="H22" s="9"/>
      <c r="I22" s="1"/>
      <c r="J22" s="1" t="s">
        <v>174</v>
      </c>
    </row>
    <row r="23" spans="2:10" ht="18" customHeight="1" x14ac:dyDescent="0.35">
      <c r="B23" s="3" t="s">
        <v>209</v>
      </c>
      <c r="C23" s="5" t="s">
        <v>210</v>
      </c>
      <c r="D23" s="5" t="s">
        <v>118</v>
      </c>
      <c r="E23" s="5" t="s">
        <v>105</v>
      </c>
      <c r="F23" s="5" t="s">
        <v>111</v>
      </c>
      <c r="G23" s="6" t="s">
        <v>108</v>
      </c>
      <c r="H23" s="7"/>
      <c r="I23" s="5"/>
      <c r="J23" s="5" t="s">
        <v>188</v>
      </c>
    </row>
    <row r="24" spans="2:10" ht="18" customHeight="1" x14ac:dyDescent="0.35">
      <c r="B24" s="8" t="s">
        <v>211</v>
      </c>
      <c r="C24" s="1" t="s">
        <v>212</v>
      </c>
      <c r="D24" s="1" t="s">
        <v>114</v>
      </c>
      <c r="E24" s="1" t="s">
        <v>109</v>
      </c>
      <c r="F24" s="1" t="s">
        <v>111</v>
      </c>
      <c r="G24" s="6" t="s">
        <v>108</v>
      </c>
      <c r="H24" s="9"/>
      <c r="I24" s="1"/>
      <c r="J24" s="1" t="s">
        <v>213</v>
      </c>
    </row>
    <row r="25" spans="2:10" ht="18" customHeight="1" x14ac:dyDescent="0.35">
      <c r="B25" s="3" t="s">
        <v>214</v>
      </c>
      <c r="C25" s="5" t="s">
        <v>215</v>
      </c>
      <c r="D25" s="5" t="s">
        <v>114</v>
      </c>
      <c r="E25" s="5" t="s">
        <v>113</v>
      </c>
      <c r="F25" s="5" t="s">
        <v>111</v>
      </c>
      <c r="G25" s="6" t="s">
        <v>112</v>
      </c>
      <c r="H25" s="7"/>
      <c r="I25" s="5"/>
      <c r="J25" s="5" t="s">
        <v>216</v>
      </c>
    </row>
    <row r="26" spans="2:10" ht="18" customHeight="1" x14ac:dyDescent="0.35">
      <c r="B26" s="8" t="s">
        <v>217</v>
      </c>
      <c r="C26" s="1" t="s">
        <v>218</v>
      </c>
      <c r="D26" s="1" t="s">
        <v>106</v>
      </c>
      <c r="E26" s="1" t="s">
        <v>105</v>
      </c>
      <c r="F26" s="1" t="s">
        <v>111</v>
      </c>
      <c r="G26" s="6" t="s">
        <v>108</v>
      </c>
      <c r="H26" s="9"/>
      <c r="I26" s="1"/>
      <c r="J26" s="1" t="s">
        <v>219</v>
      </c>
    </row>
    <row r="27" spans="2:10" ht="18" customHeight="1" x14ac:dyDescent="0.35">
      <c r="B27" s="3" t="s">
        <v>220</v>
      </c>
      <c r="C27" s="5" t="s">
        <v>221</v>
      </c>
      <c r="D27" s="5" t="s">
        <v>110</v>
      </c>
      <c r="E27" s="5" t="s">
        <v>109</v>
      </c>
      <c r="F27" s="5" t="s">
        <v>107</v>
      </c>
      <c r="G27" s="6" t="s">
        <v>116</v>
      </c>
      <c r="H27" s="7"/>
      <c r="I27" s="5"/>
      <c r="J27" s="5" t="s">
        <v>222</v>
      </c>
    </row>
    <row r="28" spans="2:10" ht="18" customHeight="1" x14ac:dyDescent="0.35">
      <c r="B28" s="8" t="s">
        <v>223</v>
      </c>
      <c r="C28" s="1" t="s">
        <v>224</v>
      </c>
      <c r="D28" s="1" t="s">
        <v>122</v>
      </c>
      <c r="E28" s="1" t="s">
        <v>109</v>
      </c>
      <c r="F28" s="1" t="s">
        <v>111</v>
      </c>
      <c r="G28" s="6" t="s">
        <v>108</v>
      </c>
      <c r="H28" s="9"/>
      <c r="I28" s="1"/>
      <c r="J28" s="1" t="s">
        <v>213</v>
      </c>
    </row>
    <row r="29" spans="2:10" ht="18" customHeight="1" x14ac:dyDescent="0.35">
      <c r="B29" s="3" t="s">
        <v>225</v>
      </c>
      <c r="C29" s="5" t="s">
        <v>226</v>
      </c>
      <c r="D29" s="5" t="s">
        <v>114</v>
      </c>
      <c r="E29" s="5" t="s">
        <v>105</v>
      </c>
      <c r="F29" s="5" t="s">
        <v>111</v>
      </c>
      <c r="G29" s="6" t="s">
        <v>112</v>
      </c>
      <c r="H29" s="7"/>
      <c r="I29" s="5" t="s">
        <v>195</v>
      </c>
      <c r="J29" s="5" t="s">
        <v>227</v>
      </c>
    </row>
    <row r="30" spans="2:10" ht="18" customHeight="1" x14ac:dyDescent="0.35">
      <c r="B30" s="8" t="s">
        <v>228</v>
      </c>
      <c r="C30" s="1" t="s">
        <v>229</v>
      </c>
      <c r="D30" s="1" t="s">
        <v>106</v>
      </c>
      <c r="E30" s="1" t="s">
        <v>113</v>
      </c>
      <c r="F30" s="1" t="s">
        <v>107</v>
      </c>
      <c r="G30" s="6" t="s">
        <v>116</v>
      </c>
      <c r="H30" s="9"/>
      <c r="I30" s="1"/>
      <c r="J30" s="1" t="s">
        <v>167</v>
      </c>
    </row>
    <row r="31" spans="2:10" ht="18" customHeight="1" x14ac:dyDescent="0.35">
      <c r="B31" s="3" t="s">
        <v>230</v>
      </c>
      <c r="C31" s="5" t="s">
        <v>231</v>
      </c>
      <c r="D31" s="5" t="s">
        <v>110</v>
      </c>
      <c r="E31" s="5" t="s">
        <v>109</v>
      </c>
      <c r="F31" s="5" t="s">
        <v>107</v>
      </c>
      <c r="G31" s="6" t="s">
        <v>116</v>
      </c>
      <c r="H31" s="7"/>
      <c r="I31" s="5"/>
      <c r="J31" s="5" t="s">
        <v>174</v>
      </c>
    </row>
    <row r="32" spans="2:10" ht="18" customHeight="1" x14ac:dyDescent="0.35">
      <c r="B32" s="8" t="s">
        <v>232</v>
      </c>
      <c r="C32" s="1" t="s">
        <v>233</v>
      </c>
      <c r="D32" s="1" t="s">
        <v>122</v>
      </c>
      <c r="E32" s="1" t="s">
        <v>105</v>
      </c>
      <c r="F32" s="1" t="s">
        <v>111</v>
      </c>
      <c r="G32" s="6" t="s">
        <v>108</v>
      </c>
      <c r="H32" s="9"/>
      <c r="I32" s="1" t="s">
        <v>234</v>
      </c>
      <c r="J32" s="1" t="s">
        <v>185</v>
      </c>
    </row>
    <row r="33" spans="2:10" ht="18" customHeight="1" x14ac:dyDescent="0.35">
      <c r="B33" s="3" t="s">
        <v>235</v>
      </c>
      <c r="C33" s="5" t="s">
        <v>236</v>
      </c>
      <c r="D33" s="5" t="s">
        <v>114</v>
      </c>
      <c r="E33" s="5" t="s">
        <v>113</v>
      </c>
      <c r="F33" s="5" t="s">
        <v>111</v>
      </c>
      <c r="G33" s="6" t="s">
        <v>116</v>
      </c>
      <c r="H33" s="7"/>
      <c r="I33" s="5"/>
      <c r="J33" s="5" t="s">
        <v>237</v>
      </c>
    </row>
    <row r="34" spans="2:10" ht="18" customHeight="1" x14ac:dyDescent="0.35">
      <c r="B34" s="8" t="s">
        <v>238</v>
      </c>
      <c r="C34" s="1" t="s">
        <v>239</v>
      </c>
      <c r="D34" s="1" t="s">
        <v>120</v>
      </c>
      <c r="E34" s="1" t="s">
        <v>109</v>
      </c>
      <c r="F34" s="1" t="s">
        <v>107</v>
      </c>
      <c r="G34" s="6" t="s">
        <v>112</v>
      </c>
      <c r="H34" s="9"/>
      <c r="I34" s="1"/>
      <c r="J34" s="1" t="s">
        <v>200</v>
      </c>
    </row>
    <row r="35" spans="2:10" ht="18" customHeight="1" x14ac:dyDescent="0.35">
      <c r="B35" s="3" t="s">
        <v>240</v>
      </c>
      <c r="C35" s="5" t="s">
        <v>241</v>
      </c>
      <c r="D35" s="5" t="s">
        <v>118</v>
      </c>
      <c r="E35" s="5" t="s">
        <v>105</v>
      </c>
      <c r="F35" s="5" t="s">
        <v>111</v>
      </c>
      <c r="G35" s="6" t="s">
        <v>108</v>
      </c>
      <c r="H35" s="7"/>
      <c r="I35" s="5"/>
      <c r="J35" s="5" t="s">
        <v>242</v>
      </c>
    </row>
    <row r="36" spans="2:10" ht="18" customHeight="1" x14ac:dyDescent="0.35">
      <c r="B36" s="8" t="s">
        <v>243</v>
      </c>
      <c r="C36" s="1" t="s">
        <v>244</v>
      </c>
      <c r="D36" s="1" t="s">
        <v>114</v>
      </c>
      <c r="E36" s="1" t="s">
        <v>113</v>
      </c>
      <c r="F36" s="1" t="s">
        <v>107</v>
      </c>
      <c r="G36" s="6" t="s">
        <v>112</v>
      </c>
      <c r="H36" s="9"/>
      <c r="I36" s="1"/>
      <c r="J36" s="1" t="s">
        <v>245</v>
      </c>
    </row>
    <row r="37" spans="2:10" ht="18" customHeight="1" x14ac:dyDescent="0.35">
      <c r="B37" s="10" t="s">
        <v>255</v>
      </c>
      <c r="C37" s="11" t="s">
        <v>256</v>
      </c>
      <c r="D37" s="5" t="s">
        <v>122</v>
      </c>
      <c r="E37" s="1" t="s">
        <v>105</v>
      </c>
      <c r="F37" s="5" t="s">
        <v>111</v>
      </c>
      <c r="G37" s="6" t="s">
        <v>108</v>
      </c>
      <c r="H37" s="7"/>
      <c r="I37" s="5"/>
      <c r="J37" s="5" t="s">
        <v>145</v>
      </c>
    </row>
    <row r="38" spans="2:10" ht="18" customHeight="1" x14ac:dyDescent="0.35">
      <c r="B38" s="8"/>
      <c r="C38" s="1"/>
      <c r="D38" s="1"/>
      <c r="E38" s="1"/>
      <c r="F38" s="1"/>
      <c r="G38" s="6"/>
      <c r="H38" s="9"/>
      <c r="I38" s="1"/>
      <c r="J38" s="1"/>
    </row>
    <row r="39" spans="2:10" ht="18" customHeight="1" x14ac:dyDescent="0.35">
      <c r="B39" s="10"/>
      <c r="C39" s="11"/>
      <c r="D39" s="5"/>
      <c r="E39" s="5"/>
      <c r="F39" s="5"/>
      <c r="G39" s="6"/>
      <c r="H39" s="7"/>
      <c r="I39" s="5"/>
      <c r="J39" s="5"/>
    </row>
    <row r="40" spans="2:10" ht="18" customHeight="1" x14ac:dyDescent="0.35">
      <c r="B40" s="8"/>
      <c r="C40" s="1"/>
      <c r="D40" s="1"/>
      <c r="E40" s="1"/>
      <c r="F40" s="1"/>
      <c r="G40" s="6"/>
      <c r="H40" s="9"/>
      <c r="I40" s="1"/>
      <c r="J40" s="1"/>
    </row>
    <row r="41" spans="2:10" ht="18" customHeight="1" x14ac:dyDescent="0.35">
      <c r="B41" s="10"/>
      <c r="C41" s="11"/>
      <c r="D41" s="5"/>
      <c r="E41" s="5"/>
      <c r="F41" s="5"/>
      <c r="G41" s="6"/>
      <c r="H41" s="7"/>
      <c r="I41" s="5"/>
      <c r="J41" s="5"/>
    </row>
    <row r="42" spans="2:10" ht="18" customHeight="1" x14ac:dyDescent="0.35">
      <c r="B42" s="8"/>
      <c r="C42" s="1"/>
      <c r="D42" s="1"/>
      <c r="E42" s="1"/>
      <c r="F42" s="1"/>
      <c r="G42" s="6"/>
      <c r="H42" s="9"/>
      <c r="I42" s="1"/>
      <c r="J42" s="1"/>
    </row>
    <row r="43" spans="2:10" ht="18" customHeight="1" x14ac:dyDescent="0.35">
      <c r="B43" s="10"/>
      <c r="C43" s="11"/>
      <c r="D43" s="5"/>
      <c r="E43" s="5"/>
      <c r="F43" s="5"/>
      <c r="G43" s="6"/>
      <c r="H43" s="7"/>
      <c r="I43" s="5"/>
      <c r="J43" s="5"/>
    </row>
    <row r="44" spans="2:10" ht="18" customHeight="1" x14ac:dyDescent="0.35">
      <c r="B44" s="8"/>
      <c r="C44" s="1"/>
      <c r="D44" s="1"/>
      <c r="E44" s="1"/>
      <c r="F44" s="1"/>
      <c r="G44" s="6"/>
      <c r="H44" s="9"/>
      <c r="I44" s="1"/>
      <c r="J44" s="1"/>
    </row>
    <row r="45" spans="2:10" ht="18" customHeight="1" x14ac:dyDescent="0.35">
      <c r="B45" s="10"/>
      <c r="C45" s="11"/>
      <c r="D45" s="5"/>
      <c r="E45" s="5"/>
      <c r="F45" s="5"/>
      <c r="G45" s="6"/>
      <c r="H45" s="7"/>
      <c r="I45" s="5"/>
      <c r="J45" s="5"/>
    </row>
    <row r="46" spans="2:10" ht="18" customHeight="1" x14ac:dyDescent="0.35">
      <c r="B46" s="8"/>
      <c r="C46" s="1"/>
      <c r="D46" s="1"/>
      <c r="E46" s="1"/>
      <c r="F46" s="1"/>
      <c r="G46" s="6"/>
      <c r="H46" s="9"/>
      <c r="I46" s="1"/>
      <c r="J46" s="1"/>
    </row>
    <row r="47" spans="2:10" ht="18" customHeight="1" x14ac:dyDescent="0.35">
      <c r="B47" s="10"/>
      <c r="C47" s="11"/>
      <c r="D47" s="5"/>
      <c r="E47" s="5"/>
      <c r="F47" s="5"/>
      <c r="G47" s="6"/>
      <c r="H47" s="7"/>
      <c r="I47" s="5"/>
      <c r="J47" s="5"/>
    </row>
    <row r="48" spans="2:10" ht="18" customHeight="1" x14ac:dyDescent="0.35">
      <c r="B48" s="8"/>
      <c r="C48" s="1"/>
      <c r="D48" s="1"/>
      <c r="E48" s="1"/>
      <c r="F48" s="1"/>
      <c r="G48" s="6"/>
      <c r="H48" s="9"/>
      <c r="I48" s="1"/>
      <c r="J48" s="1"/>
    </row>
    <row r="49" spans="2:10" ht="18" customHeight="1" x14ac:dyDescent="0.35">
      <c r="B49" s="10"/>
      <c r="C49" s="11"/>
      <c r="D49" s="5"/>
      <c r="E49" s="5"/>
      <c r="F49" s="5"/>
      <c r="G49" s="6"/>
      <c r="H49" s="7"/>
      <c r="I49" s="5"/>
      <c r="J49" s="5"/>
    </row>
    <row r="50" spans="2:10" ht="18" customHeight="1" x14ac:dyDescent="0.35">
      <c r="B50" s="8"/>
      <c r="C50" s="1"/>
      <c r="D50" s="1"/>
      <c r="E50" s="1"/>
      <c r="F50" s="1"/>
      <c r="G50" s="6"/>
      <c r="H50" s="9"/>
      <c r="I50" s="1"/>
      <c r="J50" s="1"/>
    </row>
    <row r="51" spans="2:10" ht="18" customHeight="1" x14ac:dyDescent="0.35">
      <c r="B51" s="10"/>
      <c r="C51" s="11"/>
      <c r="D51" s="5"/>
      <c r="E51" s="5"/>
      <c r="F51" s="5"/>
      <c r="G51" s="6"/>
      <c r="H51" s="7"/>
      <c r="I51" s="5"/>
      <c r="J51" s="5"/>
    </row>
    <row r="52" spans="2:10" ht="18" customHeight="1" x14ac:dyDescent="0.35">
      <c r="B52" s="8"/>
      <c r="C52" s="1"/>
      <c r="D52" s="1"/>
      <c r="E52" s="1"/>
      <c r="F52" s="1"/>
      <c r="G52" s="6"/>
      <c r="H52" s="9"/>
      <c r="I52" s="1"/>
      <c r="J52" s="1"/>
    </row>
    <row r="53" spans="2:10" ht="18" customHeight="1" x14ac:dyDescent="0.35">
      <c r="B53" s="10"/>
      <c r="C53" s="11"/>
      <c r="D53" s="5"/>
      <c r="E53" s="5"/>
      <c r="F53" s="5"/>
      <c r="G53" s="6"/>
      <c r="H53" s="7"/>
      <c r="I53" s="5"/>
      <c r="J53" s="5"/>
    </row>
    <row r="54" spans="2:10" ht="18" customHeight="1" x14ac:dyDescent="0.35">
      <c r="B54" s="8"/>
      <c r="C54" s="1"/>
      <c r="D54" s="1"/>
      <c r="E54" s="1"/>
      <c r="F54" s="1"/>
      <c r="G54" s="6"/>
      <c r="H54" s="9"/>
      <c r="I54" s="1"/>
      <c r="J54" s="1"/>
    </row>
    <row r="55" spans="2:10" ht="18" customHeight="1" x14ac:dyDescent="0.35">
      <c r="B55" s="10"/>
      <c r="C55" s="11"/>
      <c r="D55" s="5"/>
      <c r="E55" s="5"/>
      <c r="F55" s="5"/>
      <c r="G55" s="6"/>
      <c r="H55" s="7"/>
      <c r="I55" s="5"/>
      <c r="J55" s="5"/>
    </row>
    <row r="56" spans="2:10" ht="18" customHeight="1" x14ac:dyDescent="0.35">
      <c r="B56" s="8"/>
      <c r="C56" s="1"/>
      <c r="D56" s="1"/>
      <c r="E56" s="1"/>
      <c r="F56" s="1"/>
      <c r="G56" s="6"/>
      <c r="H56" s="9"/>
      <c r="I56" s="1"/>
      <c r="J56" s="1"/>
    </row>
    <row r="57" spans="2:10" ht="18" customHeight="1" x14ac:dyDescent="0.35">
      <c r="B57" s="10"/>
      <c r="C57" s="11"/>
      <c r="D57" s="5"/>
      <c r="E57" s="5"/>
      <c r="F57" s="5"/>
      <c r="G57" s="6"/>
      <c r="H57" s="7"/>
      <c r="I57" s="5"/>
      <c r="J57" s="5"/>
    </row>
    <row r="58" spans="2:10" ht="18" customHeight="1" x14ac:dyDescent="0.35">
      <c r="B58" s="8"/>
      <c r="C58" s="1"/>
      <c r="D58" s="1"/>
      <c r="E58" s="1"/>
      <c r="F58" s="1"/>
      <c r="G58" s="6"/>
      <c r="H58" s="9"/>
      <c r="I58" s="1"/>
      <c r="J58" s="1"/>
    </row>
    <row r="59" spans="2:10" ht="18" customHeight="1" x14ac:dyDescent="0.35">
      <c r="B59" s="10"/>
      <c r="C59" s="11"/>
      <c r="D59" s="5"/>
      <c r="E59" s="5"/>
      <c r="F59" s="5"/>
      <c r="G59" s="6"/>
      <c r="H59" s="7"/>
      <c r="I59" s="5"/>
      <c r="J59" s="5"/>
    </row>
    <row r="60" spans="2:10" ht="18" customHeight="1" x14ac:dyDescent="0.35">
      <c r="B60" s="8"/>
      <c r="C60" s="1"/>
      <c r="D60" s="1"/>
      <c r="E60" s="1"/>
      <c r="F60" s="1"/>
      <c r="G60" s="6"/>
      <c r="H60" s="9"/>
      <c r="I60" s="1"/>
      <c r="J60" s="1"/>
    </row>
    <row r="61" spans="2:10" ht="18" customHeight="1" x14ac:dyDescent="0.35">
      <c r="B61" s="10"/>
      <c r="C61" s="11"/>
      <c r="D61" s="5"/>
      <c r="E61" s="5"/>
      <c r="F61" s="5"/>
      <c r="G61" s="6"/>
      <c r="H61" s="7"/>
      <c r="I61" s="5"/>
      <c r="J61" s="5"/>
    </row>
    <row r="62" spans="2:10" ht="18" customHeight="1" x14ac:dyDescent="0.35">
      <c r="B62" s="8"/>
      <c r="C62" s="1"/>
      <c r="D62" s="1"/>
      <c r="E62" s="1"/>
      <c r="F62" s="1"/>
      <c r="G62" s="6"/>
      <c r="H62" s="9"/>
      <c r="I62" s="1"/>
      <c r="J62" s="1"/>
    </row>
    <row r="63" spans="2:10" ht="18" customHeight="1" x14ac:dyDescent="0.35">
      <c r="B63" s="10"/>
      <c r="C63" s="11"/>
      <c r="D63" s="5"/>
      <c r="E63" s="5"/>
      <c r="F63" s="5"/>
      <c r="G63" s="6"/>
      <c r="H63" s="7"/>
      <c r="I63" s="5"/>
      <c r="J63" s="5"/>
    </row>
    <row r="64" spans="2:10" ht="18" customHeight="1" x14ac:dyDescent="0.35">
      <c r="B64" s="8"/>
      <c r="C64" s="1"/>
      <c r="D64" s="1"/>
      <c r="E64" s="1"/>
      <c r="F64" s="1"/>
      <c r="G64" s="6"/>
      <c r="H64" s="9"/>
      <c r="I64" s="1"/>
      <c r="J64" s="1"/>
    </row>
    <row r="65" spans="2:10" ht="18" customHeight="1" x14ac:dyDescent="0.35">
      <c r="B65" s="10"/>
      <c r="C65" s="11"/>
      <c r="D65" s="5"/>
      <c r="E65" s="5"/>
      <c r="F65" s="5"/>
      <c r="G65" s="6"/>
      <c r="H65" s="7"/>
      <c r="I65" s="5"/>
      <c r="J65" s="5"/>
    </row>
    <row r="66" spans="2:10" ht="18" customHeight="1" x14ac:dyDescent="0.35">
      <c r="B66" s="8"/>
      <c r="C66" s="1"/>
      <c r="D66" s="1"/>
      <c r="E66" s="1"/>
      <c r="F66" s="1"/>
      <c r="G66" s="6"/>
      <c r="H66" s="9"/>
      <c r="I66" s="1"/>
      <c r="J66" s="1"/>
    </row>
    <row r="67" spans="2:10" ht="18" customHeight="1" x14ac:dyDescent="0.35">
      <c r="B67" s="10"/>
      <c r="C67" s="11"/>
      <c r="D67" s="5"/>
      <c r="E67" s="5"/>
      <c r="F67" s="5"/>
      <c r="G67" s="6"/>
      <c r="H67" s="7"/>
      <c r="I67" s="5"/>
      <c r="J67" s="5"/>
    </row>
    <row r="68" spans="2:10" ht="18" customHeight="1" x14ac:dyDescent="0.35">
      <c r="B68" s="8"/>
      <c r="C68" s="1"/>
      <c r="D68" s="1"/>
      <c r="E68" s="1"/>
      <c r="F68" s="1"/>
      <c r="G68" s="6"/>
      <c r="H68" s="9"/>
      <c r="I68" s="1"/>
      <c r="J68" s="1"/>
    </row>
    <row r="69" spans="2:10" ht="18" customHeight="1" x14ac:dyDescent="0.35">
      <c r="B69" s="10"/>
      <c r="C69" s="11"/>
      <c r="D69" s="5"/>
      <c r="E69" s="5"/>
      <c r="F69" s="5"/>
      <c r="G69" s="6"/>
      <c r="H69" s="7"/>
      <c r="I69" s="5"/>
      <c r="J69" s="5"/>
    </row>
    <row r="70" spans="2:10" ht="18" customHeight="1" x14ac:dyDescent="0.35">
      <c r="B70" s="8"/>
      <c r="C70" s="1"/>
      <c r="D70" s="1"/>
      <c r="E70" s="1"/>
      <c r="F70" s="1"/>
      <c r="G70" s="6"/>
      <c r="H70" s="9"/>
      <c r="I70" s="1"/>
      <c r="J70" s="1"/>
    </row>
    <row r="71" spans="2:10" ht="18" customHeight="1" x14ac:dyDescent="0.35">
      <c r="B71" s="10"/>
      <c r="C71" s="11"/>
      <c r="D71" s="5"/>
      <c r="E71" s="5"/>
      <c r="F71" s="5"/>
      <c r="G71" s="6"/>
      <c r="H71" s="7"/>
      <c r="I71" s="5"/>
      <c r="J71" s="5"/>
    </row>
    <row r="72" spans="2:10" ht="18" customHeight="1" x14ac:dyDescent="0.35">
      <c r="B72" s="8"/>
      <c r="C72" s="1"/>
      <c r="D72" s="1"/>
      <c r="E72" s="1"/>
      <c r="F72" s="1"/>
      <c r="G72" s="6"/>
      <c r="H72" s="9"/>
      <c r="I72" s="1"/>
      <c r="J72" s="1"/>
    </row>
    <row r="73" spans="2:10" ht="18" customHeight="1" x14ac:dyDescent="0.35">
      <c r="B73" s="10"/>
      <c r="C73" s="11"/>
      <c r="D73" s="5"/>
      <c r="E73" s="5"/>
      <c r="F73" s="5"/>
      <c r="G73" s="6"/>
      <c r="H73" s="7"/>
      <c r="I73" s="5"/>
      <c r="J73" s="5"/>
    </row>
    <row r="74" spans="2:10" ht="18" customHeight="1" x14ac:dyDescent="0.35">
      <c r="B74" s="8"/>
      <c r="C74" s="1"/>
      <c r="D74" s="1"/>
      <c r="E74" s="1"/>
      <c r="F74" s="1"/>
      <c r="G74" s="6"/>
      <c r="H74" s="9"/>
      <c r="I74" s="1"/>
      <c r="J74" s="1"/>
    </row>
    <row r="75" spans="2:10" ht="18" customHeight="1" x14ac:dyDescent="0.35">
      <c r="B75" s="10"/>
      <c r="C75" s="11"/>
      <c r="D75" s="5"/>
      <c r="E75" s="5"/>
      <c r="F75" s="5"/>
      <c r="G75" s="6"/>
      <c r="H75" s="7"/>
      <c r="I75" s="5"/>
      <c r="J75" s="5"/>
    </row>
    <row r="76" spans="2:10" ht="18" customHeight="1" x14ac:dyDescent="0.35">
      <c r="B76" s="8"/>
      <c r="C76" s="1"/>
      <c r="D76" s="1"/>
      <c r="E76" s="1"/>
      <c r="F76" s="1"/>
      <c r="G76" s="6"/>
      <c r="H76" s="9"/>
      <c r="I76" s="1"/>
      <c r="J76" s="1"/>
    </row>
    <row r="77" spans="2:10" ht="18" customHeight="1" x14ac:dyDescent="0.35">
      <c r="B77" s="10"/>
      <c r="C77" s="11"/>
      <c r="D77" s="5"/>
      <c r="E77" s="5"/>
      <c r="F77" s="5"/>
      <c r="G77" s="6"/>
      <c r="H77" s="7"/>
      <c r="I77" s="5"/>
      <c r="J77" s="5"/>
    </row>
    <row r="78" spans="2:10" ht="18" customHeight="1" x14ac:dyDescent="0.35">
      <c r="B78" s="8"/>
      <c r="C78" s="1"/>
      <c r="D78" s="1"/>
      <c r="E78" s="1"/>
      <c r="F78" s="1"/>
      <c r="G78" s="6"/>
      <c r="H78" s="9"/>
      <c r="I78" s="1"/>
      <c r="J78" s="1"/>
    </row>
    <row r="79" spans="2:10" ht="18" customHeight="1" x14ac:dyDescent="0.35">
      <c r="B79" s="10"/>
      <c r="C79" s="11"/>
      <c r="D79" s="5"/>
      <c r="E79" s="5"/>
      <c r="F79" s="5"/>
      <c r="G79" s="6"/>
      <c r="H79" s="7"/>
      <c r="I79" s="5"/>
      <c r="J79" s="5"/>
    </row>
    <row r="80" spans="2:10" ht="18" customHeight="1" x14ac:dyDescent="0.35">
      <c r="B80" s="8"/>
      <c r="C80" s="1"/>
      <c r="D80" s="1"/>
      <c r="E80" s="1"/>
      <c r="F80" s="1"/>
      <c r="G80" s="6"/>
      <c r="H80" s="9"/>
      <c r="I80" s="1"/>
      <c r="J80" s="1"/>
    </row>
    <row r="81" spans="2:10" ht="18" customHeight="1" x14ac:dyDescent="0.35">
      <c r="B81" s="10"/>
      <c r="C81" s="11"/>
      <c r="D81" s="5"/>
      <c r="E81" s="5"/>
      <c r="F81" s="5"/>
      <c r="G81" s="6"/>
      <c r="H81" s="7"/>
      <c r="I81" s="5"/>
      <c r="J81" s="5"/>
    </row>
    <row r="82" spans="2:10" ht="18" customHeight="1" x14ac:dyDescent="0.35">
      <c r="B82" s="8"/>
      <c r="C82" s="1"/>
      <c r="D82" s="1"/>
      <c r="E82" s="1"/>
      <c r="F82" s="1"/>
      <c r="G82" s="6"/>
      <c r="H82" s="9"/>
      <c r="I82" s="1"/>
      <c r="J82" s="1"/>
    </row>
    <row r="83" spans="2:10" ht="18" customHeight="1" x14ac:dyDescent="0.35">
      <c r="B83" s="10"/>
      <c r="C83" s="11"/>
      <c r="D83" s="5"/>
      <c r="E83" s="5"/>
      <c r="F83" s="5"/>
      <c r="G83" s="6"/>
      <c r="H83" s="7"/>
      <c r="I83" s="5"/>
      <c r="J83" s="5"/>
    </row>
    <row r="84" spans="2:10" ht="18" customHeight="1" x14ac:dyDescent="0.35">
      <c r="B84" s="8"/>
      <c r="C84" s="1"/>
      <c r="D84" s="1"/>
      <c r="E84" s="1"/>
      <c r="F84" s="1"/>
      <c r="G84" s="6"/>
      <c r="H84" s="9"/>
      <c r="I84" s="1"/>
      <c r="J84" s="1"/>
    </row>
    <row r="85" spans="2:10" ht="18" customHeight="1" x14ac:dyDescent="0.35">
      <c r="B85" s="10"/>
      <c r="C85" s="11"/>
      <c r="D85" s="5"/>
      <c r="E85" s="5"/>
      <c r="F85" s="5"/>
      <c r="G85" s="6"/>
      <c r="H85" s="7"/>
      <c r="I85" s="5"/>
      <c r="J85" s="5"/>
    </row>
    <row r="86" spans="2:10" ht="18" customHeight="1" x14ac:dyDescent="0.35">
      <c r="B86" s="8"/>
      <c r="C86" s="1"/>
      <c r="D86" s="1"/>
      <c r="E86" s="1"/>
      <c r="F86" s="1"/>
      <c r="G86" s="6"/>
      <c r="H86" s="9"/>
      <c r="I86" s="1"/>
      <c r="J86" s="1"/>
    </row>
    <row r="87" spans="2:10" ht="18" customHeight="1" x14ac:dyDescent="0.35">
      <c r="B87" s="10"/>
      <c r="C87" s="11"/>
      <c r="D87" s="5"/>
      <c r="E87" s="5"/>
      <c r="F87" s="5"/>
      <c r="G87" s="6"/>
      <c r="H87" s="7"/>
      <c r="I87" s="5"/>
      <c r="J87" s="5"/>
    </row>
    <row r="88" spans="2:10" ht="18" customHeight="1" x14ac:dyDescent="0.35">
      <c r="B88" s="8"/>
      <c r="C88" s="1"/>
      <c r="D88" s="1"/>
      <c r="E88" s="1"/>
      <c r="F88" s="1"/>
      <c r="G88" s="6"/>
      <c r="H88" s="9"/>
      <c r="I88" s="1"/>
      <c r="J88" s="1"/>
    </row>
    <row r="89" spans="2:10" ht="18" customHeight="1" x14ac:dyDescent="0.35">
      <c r="B89" s="10"/>
      <c r="C89" s="11"/>
      <c r="D89" s="5"/>
      <c r="E89" s="5"/>
      <c r="F89" s="5"/>
      <c r="G89" s="6"/>
      <c r="H89" s="7"/>
      <c r="I89" s="5"/>
      <c r="J89" s="5"/>
    </row>
    <row r="90" spans="2:10" ht="18" customHeight="1" x14ac:dyDescent="0.35">
      <c r="B90" s="8"/>
      <c r="C90" s="1"/>
      <c r="D90" s="1"/>
      <c r="E90" s="1"/>
      <c r="F90" s="1"/>
      <c r="G90" s="6"/>
      <c r="H90" s="9"/>
      <c r="I90" s="1"/>
      <c r="J90" s="1"/>
    </row>
    <row r="91" spans="2:10" ht="18" customHeight="1" x14ac:dyDescent="0.35">
      <c r="B91" s="10"/>
      <c r="C91" s="11"/>
      <c r="D91" s="5"/>
      <c r="E91" s="5"/>
      <c r="F91" s="5"/>
      <c r="G91" s="6"/>
      <c r="H91" s="7"/>
      <c r="I91" s="5"/>
      <c r="J91" s="5"/>
    </row>
    <row r="92" spans="2:10" ht="18" customHeight="1" x14ac:dyDescent="0.35">
      <c r="B92" s="8"/>
      <c r="C92" s="1"/>
      <c r="D92" s="1"/>
      <c r="E92" s="1"/>
      <c r="F92" s="1"/>
      <c r="G92" s="6"/>
      <c r="H92" s="9"/>
      <c r="I92" s="1"/>
      <c r="J92" s="1"/>
    </row>
    <row r="93" spans="2:10" ht="18" customHeight="1" x14ac:dyDescent="0.35">
      <c r="B93" s="10"/>
      <c r="C93" s="11"/>
      <c r="D93" s="5"/>
      <c r="E93" s="5"/>
      <c r="F93" s="5"/>
      <c r="G93" s="6"/>
      <c r="H93" s="7"/>
      <c r="I93" s="5"/>
      <c r="J93" s="5"/>
    </row>
    <row r="94" spans="2:10" ht="18" customHeight="1" x14ac:dyDescent="0.35">
      <c r="B94" s="8"/>
      <c r="C94" s="1"/>
      <c r="D94" s="1"/>
      <c r="E94" s="1"/>
      <c r="F94" s="1"/>
      <c r="G94" s="6"/>
      <c r="H94" s="9"/>
      <c r="I94" s="1"/>
      <c r="J94" s="1"/>
    </row>
    <row r="95" spans="2:10" ht="18" customHeight="1" x14ac:dyDescent="0.35">
      <c r="B95" s="10"/>
      <c r="C95" s="11"/>
      <c r="D95" s="5"/>
      <c r="E95" s="5"/>
      <c r="F95" s="5"/>
      <c r="G95" s="6"/>
      <c r="H95" s="7"/>
      <c r="I95" s="5"/>
      <c r="J95" s="5"/>
    </row>
    <row r="96" spans="2:10" ht="18" customHeight="1" x14ac:dyDescent="0.35">
      <c r="B96" s="8"/>
      <c r="C96" s="1"/>
      <c r="D96" s="1"/>
      <c r="E96" s="1"/>
      <c r="F96" s="1"/>
      <c r="G96" s="6"/>
      <c r="H96" s="9"/>
      <c r="I96" s="1"/>
      <c r="J96" s="1"/>
    </row>
    <row r="97" spans="2:10" ht="18" customHeight="1" x14ac:dyDescent="0.35">
      <c r="B97" s="10"/>
      <c r="C97" s="11"/>
      <c r="D97" s="5"/>
      <c r="E97" s="5"/>
      <c r="F97" s="5"/>
      <c r="G97" s="6"/>
      <c r="H97" s="7"/>
      <c r="I97" s="5"/>
      <c r="J97" s="5"/>
    </row>
    <row r="98" spans="2:10" ht="18" customHeight="1" x14ac:dyDescent="0.35">
      <c r="B98" s="8"/>
      <c r="C98" s="1"/>
      <c r="D98" s="1"/>
      <c r="E98" s="1"/>
      <c r="F98" s="1"/>
      <c r="G98" s="6"/>
      <c r="H98" s="9"/>
      <c r="I98" s="1"/>
      <c r="J98" s="1"/>
    </row>
    <row r="99" spans="2:10" ht="18" customHeight="1" x14ac:dyDescent="0.35">
      <c r="B99" s="10"/>
      <c r="C99" s="11"/>
      <c r="D99" s="5"/>
      <c r="E99" s="5"/>
      <c r="F99" s="5"/>
      <c r="G99" s="6"/>
      <c r="H99" s="7"/>
      <c r="I99" s="5"/>
      <c r="J99" s="5"/>
    </row>
    <row r="100" spans="2:10" ht="18" customHeight="1" x14ac:dyDescent="0.35">
      <c r="B100" s="8"/>
      <c r="C100" s="1"/>
      <c r="D100" s="1"/>
      <c r="E100" s="1"/>
      <c r="F100" s="1"/>
      <c r="G100" s="6"/>
      <c r="H100" s="9"/>
      <c r="I100" s="1"/>
      <c r="J100" s="1"/>
    </row>
    <row r="101" spans="2:10" ht="18" customHeight="1" x14ac:dyDescent="0.35">
      <c r="B101" s="10"/>
      <c r="C101" s="11"/>
      <c r="D101" s="5"/>
      <c r="E101" s="5"/>
      <c r="F101" s="5"/>
      <c r="G101" s="6"/>
      <c r="H101" s="7"/>
      <c r="I101" s="5"/>
      <c r="J101" s="5"/>
    </row>
    <row r="102" spans="2:10" ht="18" customHeight="1" x14ac:dyDescent="0.35">
      <c r="B102" s="8"/>
      <c r="C102" s="1"/>
      <c r="D102" s="1"/>
      <c r="E102" s="1"/>
      <c r="F102" s="1"/>
      <c r="G102" s="6"/>
      <c r="H102" s="9"/>
      <c r="I102" s="1"/>
      <c r="J102" s="1"/>
    </row>
    <row r="103" spans="2:10" ht="18" customHeight="1" x14ac:dyDescent="0.35">
      <c r="B103" s="10"/>
      <c r="C103" s="11"/>
      <c r="D103" s="5"/>
      <c r="E103" s="5"/>
      <c r="F103" s="5"/>
      <c r="G103" s="6"/>
      <c r="H103" s="7"/>
      <c r="I103" s="5"/>
      <c r="J103" s="5"/>
    </row>
    <row r="104" spans="2:10" ht="18" customHeight="1" x14ac:dyDescent="0.35">
      <c r="B104" s="8"/>
      <c r="C104" s="1"/>
      <c r="D104" s="1"/>
      <c r="E104" s="1"/>
      <c r="F104" s="1"/>
      <c r="G104" s="6"/>
      <c r="H104" s="9"/>
      <c r="I104" s="1"/>
      <c r="J104" s="1"/>
    </row>
    <row r="105" spans="2:10" ht="18" customHeight="1" x14ac:dyDescent="0.35">
      <c r="B105" s="10"/>
      <c r="C105" s="11"/>
      <c r="D105" s="5"/>
      <c r="E105" s="5"/>
      <c r="F105" s="5"/>
      <c r="G105" s="6"/>
      <c r="H105" s="7"/>
      <c r="I105" s="5"/>
      <c r="J105" s="5"/>
    </row>
    <row r="106" spans="2:10" ht="18" customHeight="1" x14ac:dyDescent="0.35">
      <c r="B106" s="8"/>
      <c r="C106" s="1"/>
      <c r="D106" s="1"/>
      <c r="E106" s="1"/>
      <c r="F106" s="1"/>
      <c r="G106" s="6"/>
      <c r="H106" s="9"/>
      <c r="I106" s="1"/>
      <c r="J106" s="1"/>
    </row>
  </sheetData>
  <mergeCells count="2">
    <mergeCell ref="B2:M2"/>
    <mergeCell ref="B3:M3"/>
  </mergeCells>
  <conditionalFormatting sqref="G7:G106">
    <cfRule type="cellIs" dxfId="2" priority="1" operator="equal">
      <formula>"High"</formula>
    </cfRule>
    <cfRule type="cellIs" dxfId="1" priority="2" operator="equal">
      <formula>"Medium"</formula>
    </cfRule>
    <cfRule type="cellIs" dxfId="0" priority="3" operator="equal">
      <formula>"Low"</formula>
    </cfRule>
  </conditionalFormatting>
  <dataValidations count="5">
    <dataValidation type="list" sqref="F7:F106" xr:uid="{00000000-0002-0000-0300-000002000000}">
      <formula1>CurrentStates</formula1>
    </dataValidation>
    <dataValidation type="list" allowBlank="1" showInputMessage="1" showErrorMessage="1" sqref="E7:E106" xr:uid="{B8706714-BCA7-450E-BA50-2625D84D6EB5}">
      <formula1>InvestmentThemes</formula1>
    </dataValidation>
    <dataValidation type="list" sqref="D7:D36" xr:uid="{00000000-0002-0000-0300-000000000000}">
      <formula1>BusinessDomains</formula1>
    </dataValidation>
    <dataValidation type="list" sqref="G7:G106" xr:uid="{00000000-0002-0000-0300-000003000000}">
      <formula1>RegulatoryRisk</formula1>
    </dataValidation>
    <dataValidation type="list" allowBlank="1" showInputMessage="1" showErrorMessage="1" sqref="D37:D106" xr:uid="{27CFB3B1-3EF0-4BD2-BA28-13F792387EBB}">
      <formula1>BusinessDomains</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A7D8C"/>
  </sheetPr>
  <dimension ref="B2:Q106"/>
  <sheetViews>
    <sheetView showGridLines="0" zoomScaleNormal="100" workbookViewId="0">
      <pane xSplit="2" ySplit="7" topLeftCell="C8" activePane="bottomRight" state="frozen"/>
      <selection pane="topRight" activeCell="C1" sqref="C1"/>
      <selection pane="bottomLeft" activeCell="A9" sqref="A9"/>
      <selection pane="bottomRight" activeCell="H22" sqref="H22"/>
    </sheetView>
  </sheetViews>
  <sheetFormatPr defaultColWidth="8.54296875" defaultRowHeight="14.5" x14ac:dyDescent="0.35"/>
  <cols>
    <col min="1" max="1" width="3" style="12" customWidth="1"/>
    <col min="2" max="2" width="10" style="12" customWidth="1"/>
    <col min="3" max="3" width="37" style="12" customWidth="1"/>
    <col min="4" max="4" width="14" style="12" customWidth="1"/>
    <col min="5" max="10" width="12" style="12" customWidth="1"/>
    <col min="11" max="14" width="12.453125" style="12" customWidth="1"/>
    <col min="15" max="15" width="5.453125" style="12" customWidth="1"/>
    <col min="16" max="16384" width="8.54296875" style="12"/>
  </cols>
  <sheetData>
    <row r="2" spans="2:17" ht="27.75" customHeight="1" x14ac:dyDescent="0.35">
      <c r="B2" s="61" t="s">
        <v>246</v>
      </c>
      <c r="C2" s="61"/>
      <c r="D2" s="61"/>
      <c r="E2" s="61"/>
      <c r="F2" s="61"/>
      <c r="G2" s="61"/>
      <c r="H2" s="61"/>
      <c r="I2" s="61"/>
      <c r="J2" s="61"/>
    </row>
    <row r="3" spans="2:17" ht="42" customHeight="1" x14ac:dyDescent="0.35">
      <c r="B3" s="65" t="s">
        <v>247</v>
      </c>
      <c r="C3" s="65"/>
      <c r="D3" s="65"/>
      <c r="E3" s="65"/>
      <c r="F3" s="65"/>
      <c r="G3" s="65"/>
      <c r="H3" s="65"/>
      <c r="I3" s="65"/>
      <c r="J3" s="65"/>
    </row>
    <row r="4" spans="2:17" ht="18" customHeight="1" x14ac:dyDescent="0.35">
      <c r="B4" s="69" t="s">
        <v>248</v>
      </c>
      <c r="C4" s="69"/>
      <c r="D4" s="69"/>
      <c r="E4" s="70" t="s">
        <v>249</v>
      </c>
      <c r="F4" s="71"/>
      <c r="G4" s="71"/>
      <c r="H4" s="71"/>
      <c r="I4" s="71"/>
      <c r="J4" s="71"/>
      <c r="K4" s="71"/>
      <c r="L4" s="71"/>
      <c r="M4" s="71"/>
      <c r="N4" s="71"/>
    </row>
    <row r="5" spans="2:17" ht="18" customHeight="1" x14ac:dyDescent="0.35">
      <c r="E5" s="14" t="str" cm="1">
        <f t="array" ref="E5">IFERROR(INDEX(ImpactFactors, COLUMN()-4, 1), "")</f>
        <v>IF01</v>
      </c>
      <c r="F5" s="14" t="str" cm="1">
        <f t="array" ref="F5">IFERROR(INDEX(ImpactFactors, COLUMN()-4, 1), "")</f>
        <v>IF02</v>
      </c>
      <c r="G5" s="14" t="str" cm="1">
        <f t="array" ref="G5">IFERROR(INDEX(ImpactFactors, COLUMN()-4, 1), "")</f>
        <v>IF03</v>
      </c>
      <c r="H5" s="14" t="str" cm="1">
        <f t="array" ref="H5">IFERROR(INDEX(ImpactFactors, COLUMN()-4, 1), "")</f>
        <v>IF04</v>
      </c>
      <c r="I5" s="14" t="str" cm="1">
        <f t="array" ref="I5">IFERROR(INDEX(ImpactFactors, COLUMN()-4, 1), "")</f>
        <v>IF05</v>
      </c>
      <c r="J5" s="14" t="str" cm="1">
        <f t="array" ref="J5">IFERROR(INDEX(ImpactFactors, COLUMN()-4, 1), "")</f>
        <v>IF06</v>
      </c>
      <c r="K5" s="14" t="str" cm="1">
        <f t="array" ref="K5">IFERROR(INDEX(ImpactFactors, COLUMN()-4, 1), "")</f>
        <v>IF07</v>
      </c>
      <c r="L5" s="14" t="str" cm="1">
        <f t="array" ref="L5">IFERROR(INDEX(ImpactFactors, COLUMN()-4, 1), "")</f>
        <v/>
      </c>
      <c r="M5" s="14" t="str" cm="1">
        <f t="array" ref="M5">IFERROR(INDEX(ImpactFactors, COLUMN()-4, 1), "")</f>
        <v/>
      </c>
      <c r="N5" s="14" t="str" cm="1">
        <f t="array" ref="N5">IFERROR(INDEX(ImpactFactors, COLUMN()-4, 1), "")</f>
        <v/>
      </c>
    </row>
    <row r="6" spans="2:17" ht="37.5" customHeight="1" x14ac:dyDescent="0.35">
      <c r="B6" s="15" t="s">
        <v>157</v>
      </c>
      <c r="C6" s="14" t="s">
        <v>250</v>
      </c>
      <c r="D6" s="16" t="s">
        <v>251</v>
      </c>
      <c r="E6" s="27" t="str">
        <f t="shared" ref="E6:N6" si="0">IFERROR(VLOOKUP(E5,ImpactFactors,2,FALSE()),E5)</f>
        <v>Revenue growth</v>
      </c>
      <c r="F6" s="27" t="str">
        <f t="shared" si="0"/>
        <v>Cost reduction / efficiency</v>
      </c>
      <c r="G6" s="27" t="str">
        <f t="shared" si="0"/>
        <v>Risk reduction</v>
      </c>
      <c r="H6" s="27" t="str">
        <f t="shared" si="0"/>
        <v>Customer experience</v>
      </c>
      <c r="I6" s="27" t="str">
        <f t="shared" si="0"/>
        <v>Strategic differentiation</v>
      </c>
      <c r="J6" s="27" t="str">
        <f t="shared" si="0"/>
        <v>Employee experience</v>
      </c>
      <c r="K6" s="27" t="str">
        <f t="shared" si="0"/>
        <v>Learning</v>
      </c>
      <c r="L6" s="27" t="str">
        <f t="shared" si="0"/>
        <v/>
      </c>
      <c r="M6" s="27" t="str">
        <f t="shared" si="0"/>
        <v/>
      </c>
      <c r="N6" s="27" t="str">
        <f t="shared" si="0"/>
        <v/>
      </c>
    </row>
    <row r="7" spans="2:17" ht="18" customHeight="1" x14ac:dyDescent="0.35">
      <c r="B7" s="19"/>
      <c r="C7" s="19"/>
      <c r="D7" s="18" t="s">
        <v>252</v>
      </c>
      <c r="E7" s="20">
        <f t="shared" ref="E7:N7" si="1">IF(E5="","",IFERROR(VLOOKUP(E5,ImpactFactors,3,FALSE()),0))</f>
        <v>20</v>
      </c>
      <c r="F7" s="20">
        <f t="shared" si="1"/>
        <v>20</v>
      </c>
      <c r="G7" s="20">
        <f t="shared" si="1"/>
        <v>20</v>
      </c>
      <c r="H7" s="20">
        <f t="shared" si="1"/>
        <v>15</v>
      </c>
      <c r="I7" s="20">
        <f t="shared" si="1"/>
        <v>15</v>
      </c>
      <c r="J7" s="20">
        <f t="shared" si="1"/>
        <v>10</v>
      </c>
      <c r="K7" s="20">
        <f t="shared" si="1"/>
        <v>20</v>
      </c>
      <c r="L7" s="20" t="str">
        <f t="shared" si="1"/>
        <v/>
      </c>
      <c r="M7" s="20" t="str">
        <f t="shared" si="1"/>
        <v/>
      </c>
      <c r="N7" s="20" t="str">
        <f t="shared" si="1"/>
        <v/>
      </c>
      <c r="O7" s="13"/>
    </row>
    <row r="8" spans="2:17" ht="18" customHeight="1" x14ac:dyDescent="0.35">
      <c r="B8" s="26" t="str">
        <f>IF('Use Cases'!B7&lt;&gt;"",'Use Cases'!B7,"")</f>
        <v>UC01</v>
      </c>
      <c r="C8" s="21" t="str">
        <f>IFERROR(VLOOKUP(B8,'Use Cases'!$B$7:$C$506,2,FALSE()),"")</f>
        <v>Automated FNOL triage</v>
      </c>
      <c r="D8" s="22">
        <f>IF(B8&lt;&gt;"",IFERROR(SUMPRODUCT(E8:N8,E$7:N$7)/SUM(E$7:N$7),""),"")</f>
        <v>3.0416666666666665</v>
      </c>
      <c r="E8" s="23">
        <v>2</v>
      </c>
      <c r="F8" s="23">
        <v>5</v>
      </c>
      <c r="G8" s="23">
        <v>3</v>
      </c>
      <c r="H8" s="23">
        <v>4</v>
      </c>
      <c r="I8" s="23">
        <v>3</v>
      </c>
      <c r="J8" s="23">
        <v>4</v>
      </c>
      <c r="K8" s="23">
        <v>1</v>
      </c>
      <c r="L8" s="23"/>
      <c r="M8" s="23"/>
      <c r="N8" s="23"/>
      <c r="Q8" s="37"/>
    </row>
    <row r="9" spans="2:17" ht="18" customHeight="1" x14ac:dyDescent="0.35">
      <c r="B9" s="26" t="str">
        <f>IF('Use Cases'!B8&lt;&gt;"",'Use Cases'!B8,"")</f>
        <v>UC02</v>
      </c>
      <c r="C9" s="21" t="str">
        <f>IFERROR(VLOOKUP(B9,'Use Cases'!$B$7:$C$506,2,FALSE()),"")</f>
        <v>AI-assisted claims liability assessment</v>
      </c>
      <c r="D9" s="22">
        <f t="shared" ref="D9:D72" si="2">IF(B9&lt;&gt;"",IFERROR(SUMPRODUCT(E9:N9,E$7:N$7)/SUM(E$7:N$7),""),"")</f>
        <v>3.4583333333333335</v>
      </c>
      <c r="E9" s="25">
        <v>2</v>
      </c>
      <c r="F9" s="25">
        <v>4</v>
      </c>
      <c r="G9" s="25">
        <v>5</v>
      </c>
      <c r="H9" s="25">
        <v>3</v>
      </c>
      <c r="I9" s="25">
        <v>4</v>
      </c>
      <c r="J9" s="25">
        <v>3</v>
      </c>
      <c r="K9" s="25">
        <v>3</v>
      </c>
      <c r="L9" s="25"/>
      <c r="M9" s="25"/>
      <c r="N9" s="25"/>
    </row>
    <row r="10" spans="2:17" ht="18" customHeight="1" x14ac:dyDescent="0.35">
      <c r="B10" s="26" t="str">
        <f>IF('Use Cases'!B9&lt;&gt;"",'Use Cases'!B9,"")</f>
        <v>UC03</v>
      </c>
      <c r="C10" s="21" t="str">
        <f>IFERROR(VLOOKUP(B10,'Use Cases'!$B$7:$C$506,2,FALSE()),"")</f>
        <v>Claims fraud detection — motor</v>
      </c>
      <c r="D10" s="22">
        <f t="shared" si="2"/>
        <v>3.0416666666666665</v>
      </c>
      <c r="E10" s="23">
        <v>2</v>
      </c>
      <c r="F10" s="23">
        <v>4</v>
      </c>
      <c r="G10" s="23">
        <v>5</v>
      </c>
      <c r="H10" s="23">
        <v>2</v>
      </c>
      <c r="I10" s="23">
        <v>3</v>
      </c>
      <c r="J10" s="23">
        <v>3</v>
      </c>
      <c r="K10" s="23">
        <v>2</v>
      </c>
      <c r="L10" s="23"/>
      <c r="M10" s="23"/>
      <c r="N10" s="23"/>
    </row>
    <row r="11" spans="2:17" ht="18" customHeight="1" x14ac:dyDescent="0.35">
      <c r="B11" s="26" t="str">
        <f>IF('Use Cases'!B10&lt;&gt;"",'Use Cases'!B10,"")</f>
        <v>UC04</v>
      </c>
      <c r="C11" s="21" t="str">
        <f>IFERROR(VLOOKUP(B11,'Use Cases'!$B$7:$C$506,2,FALSE()),"")</f>
        <v>Claims fraud detection — home &amp; contents</v>
      </c>
      <c r="D11" s="22">
        <f t="shared" si="2"/>
        <v>2.9166666666666665</v>
      </c>
      <c r="E11" s="25">
        <v>2</v>
      </c>
      <c r="F11" s="25">
        <v>4</v>
      </c>
      <c r="G11" s="25">
        <v>5</v>
      </c>
      <c r="H11" s="25">
        <v>2</v>
      </c>
      <c r="I11" s="25">
        <v>2</v>
      </c>
      <c r="J11" s="25">
        <v>3</v>
      </c>
      <c r="K11" s="25">
        <v>2</v>
      </c>
      <c r="L11" s="25"/>
      <c r="M11" s="25"/>
      <c r="N11" s="25"/>
    </row>
    <row r="12" spans="2:17" ht="18" customHeight="1" x14ac:dyDescent="0.35">
      <c r="B12" s="26" t="str">
        <f>IF('Use Cases'!B11&lt;&gt;"",'Use Cases'!B11,"")</f>
        <v>UC05</v>
      </c>
      <c r="C12" s="21" t="str">
        <f>IFERROR(VLOOKUP(B12,'Use Cases'!$B$7:$C$506,2,FALSE()),"")</f>
        <v>Claims document extraction &amp; summarisation</v>
      </c>
      <c r="D12" s="22">
        <f t="shared" si="2"/>
        <v>3.0416666666666665</v>
      </c>
      <c r="E12" s="23">
        <v>1</v>
      </c>
      <c r="F12" s="23">
        <v>5</v>
      </c>
      <c r="G12" s="23">
        <v>2</v>
      </c>
      <c r="H12" s="23">
        <v>3</v>
      </c>
      <c r="I12" s="23">
        <v>2</v>
      </c>
      <c r="J12" s="23">
        <v>5</v>
      </c>
      <c r="K12" s="23">
        <v>4</v>
      </c>
      <c r="L12" s="23"/>
      <c r="M12" s="23"/>
      <c r="N12" s="23"/>
    </row>
    <row r="13" spans="2:17" ht="18" customHeight="1" x14ac:dyDescent="0.35">
      <c r="B13" s="26" t="str">
        <f>IF('Use Cases'!B12&lt;&gt;"",'Use Cases'!B12,"")</f>
        <v>UC06</v>
      </c>
      <c r="C13" s="21" t="str">
        <f>IFERROR(VLOOKUP(B13,'Use Cases'!$B$7:$C$506,2,FALSE()),"")</f>
        <v>Predictive UW risk scoring — motor</v>
      </c>
      <c r="D13" s="22">
        <f t="shared" si="2"/>
        <v>3.2083333333333335</v>
      </c>
      <c r="E13" s="25">
        <v>4</v>
      </c>
      <c r="F13" s="25">
        <v>3</v>
      </c>
      <c r="G13" s="25">
        <v>5</v>
      </c>
      <c r="H13" s="25">
        <v>2</v>
      </c>
      <c r="I13" s="25">
        <v>5</v>
      </c>
      <c r="J13" s="25">
        <v>2</v>
      </c>
      <c r="K13" s="25">
        <v>1</v>
      </c>
      <c r="L13" s="25"/>
      <c r="M13" s="25"/>
      <c r="N13" s="25"/>
    </row>
    <row r="14" spans="2:17" ht="18" customHeight="1" x14ac:dyDescent="0.35">
      <c r="B14" s="26" t="str">
        <f>IF('Use Cases'!B13&lt;&gt;"",'Use Cases'!B13,"")</f>
        <v>UC07</v>
      </c>
      <c r="C14" s="21" t="str">
        <f>IFERROR(VLOOKUP(B14,'Use Cases'!$B$7:$C$506,2,FALSE()),"")</f>
        <v>Predictive UW risk scoring — home</v>
      </c>
      <c r="D14" s="22">
        <f t="shared" si="2"/>
        <v>3.25</v>
      </c>
      <c r="E14" s="23">
        <v>4</v>
      </c>
      <c r="F14" s="23">
        <v>3</v>
      </c>
      <c r="G14" s="23">
        <v>5</v>
      </c>
      <c r="H14" s="23">
        <v>2</v>
      </c>
      <c r="I14" s="23">
        <v>4</v>
      </c>
      <c r="J14" s="23">
        <v>2</v>
      </c>
      <c r="K14" s="23">
        <v>2</v>
      </c>
      <c r="L14" s="23"/>
      <c r="M14" s="23"/>
      <c r="N14" s="23"/>
    </row>
    <row r="15" spans="2:17" ht="18" customHeight="1" x14ac:dyDescent="0.35">
      <c r="B15" s="26" t="str">
        <f>IF('Use Cases'!B14&lt;&gt;"",'Use Cases'!B14,"")</f>
        <v>UC08</v>
      </c>
      <c r="C15" s="21" t="str">
        <f>IFERROR(VLOOKUP(B15,'Use Cases'!$B$7:$C$506,2,FALSE()),"")</f>
        <v>Underwriting referral assist</v>
      </c>
      <c r="D15" s="22">
        <f t="shared" si="2"/>
        <v>3.125</v>
      </c>
      <c r="E15" s="25">
        <v>2</v>
      </c>
      <c r="F15" s="25">
        <v>4</v>
      </c>
      <c r="G15" s="25">
        <v>3</v>
      </c>
      <c r="H15" s="25">
        <v>2</v>
      </c>
      <c r="I15" s="25">
        <v>3</v>
      </c>
      <c r="J15" s="25">
        <v>4</v>
      </c>
      <c r="K15" s="25">
        <v>4</v>
      </c>
      <c r="L15" s="25"/>
      <c r="M15" s="25"/>
      <c r="N15" s="25"/>
    </row>
    <row r="16" spans="2:17" ht="18" customHeight="1" x14ac:dyDescent="0.35">
      <c r="B16" s="26" t="str">
        <f>IF('Use Cases'!B15&lt;&gt;"",'Use Cases'!B15,"")</f>
        <v>UC09</v>
      </c>
      <c r="C16" s="21" t="str">
        <f>IFERROR(VLOOKUP(B16,'Use Cases'!$B$7:$C$506,2,FALSE()),"")</f>
        <v>Automated policy endorsement processing</v>
      </c>
      <c r="D16" s="22">
        <f t="shared" si="2"/>
        <v>2.625</v>
      </c>
      <c r="E16" s="23">
        <v>1</v>
      </c>
      <c r="F16" s="23">
        <v>5</v>
      </c>
      <c r="G16" s="23">
        <v>2</v>
      </c>
      <c r="H16" s="23">
        <v>3</v>
      </c>
      <c r="I16" s="23">
        <v>2</v>
      </c>
      <c r="J16" s="23">
        <v>4</v>
      </c>
      <c r="K16" s="23">
        <v>2</v>
      </c>
      <c r="L16" s="23"/>
      <c r="M16" s="23"/>
      <c r="N16" s="23"/>
    </row>
    <row r="17" spans="2:14" ht="18" customHeight="1" x14ac:dyDescent="0.35">
      <c r="B17" s="26" t="str">
        <f>IF('Use Cases'!B16&lt;&gt;"",'Use Cases'!B16,"")</f>
        <v>UC10</v>
      </c>
      <c r="C17" s="21" t="str">
        <f>IFERROR(VLOOKUP(B17,'Use Cases'!$B$7:$C$506,2,FALSE()),"")</f>
        <v>AI-powered customer self-service</v>
      </c>
      <c r="D17" s="22">
        <f t="shared" si="2"/>
        <v>3.5416666666666665</v>
      </c>
      <c r="E17" s="25">
        <v>3</v>
      </c>
      <c r="F17" s="25">
        <v>4</v>
      </c>
      <c r="G17" s="25">
        <v>2</v>
      </c>
      <c r="H17" s="25">
        <v>5</v>
      </c>
      <c r="I17" s="25">
        <v>4</v>
      </c>
      <c r="J17" s="25">
        <v>3</v>
      </c>
      <c r="K17" s="25">
        <v>4</v>
      </c>
      <c r="L17" s="25"/>
      <c r="M17" s="25"/>
      <c r="N17" s="25"/>
    </row>
    <row r="18" spans="2:14" ht="18" customHeight="1" x14ac:dyDescent="0.35">
      <c r="B18" s="26" t="str">
        <f>IF('Use Cases'!B17&lt;&gt;"",'Use Cases'!B17,"")</f>
        <v>UC11</v>
      </c>
      <c r="C18" s="21" t="str">
        <f>IFERROR(VLOOKUP(B18,'Use Cases'!$B$7:$C$506,2,FALSE()),"")</f>
        <v>Personalised renewal pricing &amp; retention</v>
      </c>
      <c r="D18" s="22">
        <f t="shared" si="2"/>
        <v>3.625</v>
      </c>
      <c r="E18" s="23">
        <v>5</v>
      </c>
      <c r="F18" s="23">
        <v>3</v>
      </c>
      <c r="G18" s="23">
        <v>3</v>
      </c>
      <c r="H18" s="23">
        <v>4</v>
      </c>
      <c r="I18" s="23">
        <v>5</v>
      </c>
      <c r="J18" s="23">
        <v>2</v>
      </c>
      <c r="K18" s="23">
        <v>3</v>
      </c>
      <c r="L18" s="23"/>
      <c r="M18" s="23"/>
      <c r="N18" s="23"/>
    </row>
    <row r="19" spans="2:14" ht="18" customHeight="1" x14ac:dyDescent="0.35">
      <c r="B19" s="26" t="str">
        <f>IF('Use Cases'!B18&lt;&gt;"",'Use Cases'!B18,"")</f>
        <v>UC12</v>
      </c>
      <c r="C19" s="21" t="str">
        <f>IFERROR(VLOOKUP(B19,'Use Cases'!$B$7:$C$506,2,FALSE()),"")</f>
        <v>Next best action for inbound contacts</v>
      </c>
      <c r="D19" s="22">
        <f t="shared" si="2"/>
        <v>3.4166666666666665</v>
      </c>
      <c r="E19" s="25">
        <v>4</v>
      </c>
      <c r="F19" s="25">
        <v>2</v>
      </c>
      <c r="G19" s="25">
        <v>2</v>
      </c>
      <c r="H19" s="25">
        <v>4</v>
      </c>
      <c r="I19" s="25">
        <v>4</v>
      </c>
      <c r="J19" s="25">
        <v>3</v>
      </c>
      <c r="K19" s="25">
        <v>5</v>
      </c>
      <c r="L19" s="25"/>
      <c r="M19" s="25"/>
      <c r="N19" s="25"/>
    </row>
    <row r="20" spans="2:14" ht="18" customHeight="1" x14ac:dyDescent="0.35">
      <c r="B20" s="26" t="str">
        <f>IF('Use Cases'!B19&lt;&gt;"",'Use Cases'!B19,"")</f>
        <v>UC13</v>
      </c>
      <c r="C20" s="21" t="str">
        <f>IFERROR(VLOOKUP(B20,'Use Cases'!$B$7:$C$506,2,FALSE()),"")</f>
        <v>Complaint root cause analysis</v>
      </c>
      <c r="D20" s="22">
        <f t="shared" si="2"/>
        <v>3</v>
      </c>
      <c r="E20" s="23">
        <v>2</v>
      </c>
      <c r="F20" s="23">
        <v>3</v>
      </c>
      <c r="G20" s="23">
        <v>5</v>
      </c>
      <c r="H20" s="23">
        <v>3</v>
      </c>
      <c r="I20" s="23">
        <v>3</v>
      </c>
      <c r="J20" s="23">
        <v>3</v>
      </c>
      <c r="K20" s="23">
        <v>2</v>
      </c>
      <c r="L20" s="23"/>
      <c r="M20" s="23"/>
      <c r="N20" s="23"/>
    </row>
    <row r="21" spans="2:14" ht="18" customHeight="1" x14ac:dyDescent="0.35">
      <c r="B21" s="26" t="str">
        <f>IF('Use Cases'!B20&lt;&gt;"",'Use Cases'!B20,"")</f>
        <v>UC14</v>
      </c>
      <c r="C21" s="21" t="str">
        <f>IFERROR(VLOOKUP(B21,'Use Cases'!$B$7:$C$506,2,FALSE()),"")</f>
        <v>Regulatory change impact assessment</v>
      </c>
      <c r="D21" s="22">
        <f t="shared" si="2"/>
        <v>3.1666666666666665</v>
      </c>
      <c r="E21" s="25">
        <v>2</v>
      </c>
      <c r="F21" s="25">
        <v>4</v>
      </c>
      <c r="G21" s="25">
        <v>4</v>
      </c>
      <c r="H21" s="25">
        <v>1</v>
      </c>
      <c r="I21" s="25">
        <v>3</v>
      </c>
      <c r="J21" s="25">
        <v>4</v>
      </c>
      <c r="K21" s="25">
        <v>4</v>
      </c>
      <c r="L21" s="25"/>
      <c r="M21" s="25"/>
      <c r="N21" s="25"/>
    </row>
    <row r="22" spans="2:14" ht="18" customHeight="1" x14ac:dyDescent="0.35">
      <c r="B22" s="26" t="str">
        <f>IF('Use Cases'!B21&lt;&gt;"",'Use Cases'!B21,"")</f>
        <v>UC15</v>
      </c>
      <c r="C22" s="21" t="str">
        <f>IFERROR(VLOOKUP(B22,'Use Cases'!$B$7:$C$506,2,FALSE()),"")</f>
        <v>Automated conduct risk monitoring</v>
      </c>
      <c r="D22" s="22">
        <f t="shared" si="2"/>
        <v>3.0416666666666665</v>
      </c>
      <c r="E22" s="23">
        <v>2</v>
      </c>
      <c r="F22" s="23">
        <v>4</v>
      </c>
      <c r="G22" s="23">
        <v>5</v>
      </c>
      <c r="H22" s="23">
        <v>2</v>
      </c>
      <c r="I22" s="23">
        <v>3</v>
      </c>
      <c r="J22" s="23">
        <v>3</v>
      </c>
      <c r="K22" s="23">
        <v>2</v>
      </c>
      <c r="L22" s="23"/>
      <c r="M22" s="23"/>
      <c r="N22" s="23"/>
    </row>
    <row r="23" spans="2:14" ht="18" customHeight="1" x14ac:dyDescent="0.35">
      <c r="B23" s="26" t="str">
        <f>IF('Use Cases'!B22&lt;&gt;"",'Use Cases'!B22,"")</f>
        <v>UC16</v>
      </c>
      <c r="C23" s="21" t="str">
        <f>IFERROR(VLOOKUP(B23,'Use Cases'!$B$7:$C$506,2,FALSE()),"")</f>
        <v>AI-assisted actuarial reserving</v>
      </c>
      <c r="D23" s="22">
        <f t="shared" si="2"/>
        <v>3.2083333333333335</v>
      </c>
      <c r="E23" s="25">
        <v>1</v>
      </c>
      <c r="F23" s="25">
        <v>3</v>
      </c>
      <c r="G23" s="25">
        <v>5</v>
      </c>
      <c r="H23" s="25">
        <v>1</v>
      </c>
      <c r="I23" s="25">
        <v>4</v>
      </c>
      <c r="J23" s="25">
        <v>3</v>
      </c>
      <c r="K23" s="25">
        <v>5</v>
      </c>
      <c r="L23" s="25"/>
      <c r="M23" s="25"/>
      <c r="N23" s="25"/>
    </row>
    <row r="24" spans="2:14" ht="18" customHeight="1" x14ac:dyDescent="0.35">
      <c r="B24" s="26" t="str">
        <f>IF('Use Cases'!B23&lt;&gt;"",'Use Cases'!B23,"")</f>
        <v>UC17</v>
      </c>
      <c r="C24" s="21" t="str">
        <f>IFERROR(VLOOKUP(B24,'Use Cases'!$B$7:$C$506,2,FALSE()),"")</f>
        <v>Finance process automation — reconciliations</v>
      </c>
      <c r="D24" s="22">
        <f t="shared" si="2"/>
        <v>2.2083333333333335</v>
      </c>
      <c r="E24" s="23">
        <v>1</v>
      </c>
      <c r="F24" s="23">
        <v>5</v>
      </c>
      <c r="G24" s="23">
        <v>2</v>
      </c>
      <c r="H24" s="23">
        <v>1</v>
      </c>
      <c r="I24" s="23">
        <v>2</v>
      </c>
      <c r="J24" s="23">
        <v>4</v>
      </c>
      <c r="K24" s="23">
        <v>1</v>
      </c>
      <c r="L24" s="23"/>
      <c r="M24" s="23"/>
      <c r="N24" s="23"/>
    </row>
    <row r="25" spans="2:14" ht="18" customHeight="1" x14ac:dyDescent="0.35">
      <c r="B25" s="26" t="str">
        <f>IF('Use Cases'!B24&lt;&gt;"",'Use Cases'!B24,"")</f>
        <v>UC18</v>
      </c>
      <c r="C25" s="21" t="str">
        <f>IFERROR(VLOOKUP(B25,'Use Cases'!$B$7:$C$506,2,FALSE()),"")</f>
        <v>Broker relationship scoring &amp; segmentation</v>
      </c>
      <c r="D25" s="22">
        <f t="shared" si="2"/>
        <v>2.6666666666666665</v>
      </c>
      <c r="E25" s="25">
        <v>4</v>
      </c>
      <c r="F25" s="25">
        <v>2</v>
      </c>
      <c r="G25" s="25">
        <v>2</v>
      </c>
      <c r="H25" s="25">
        <v>3</v>
      </c>
      <c r="I25" s="25">
        <v>3</v>
      </c>
      <c r="J25" s="25">
        <v>3</v>
      </c>
      <c r="K25" s="25">
        <v>2</v>
      </c>
      <c r="L25" s="25"/>
      <c r="M25" s="25"/>
      <c r="N25" s="25"/>
    </row>
    <row r="26" spans="2:14" ht="18" customHeight="1" x14ac:dyDescent="0.35">
      <c r="B26" s="26" t="str">
        <f>IF('Use Cases'!B25&lt;&gt;"",'Use Cases'!B25,"")</f>
        <v>UC19</v>
      </c>
      <c r="C26" s="21" t="str">
        <f>IFERROR(VLOOKUP(B26,'Use Cases'!$B$7:$C$506,2,FALSE()),"")</f>
        <v>Intelligent policy &amp; renewal doc generation</v>
      </c>
      <c r="D26" s="22">
        <f t="shared" si="2"/>
        <v>2.9583333333333335</v>
      </c>
      <c r="E26" s="23">
        <v>2</v>
      </c>
      <c r="F26" s="23">
        <v>3</v>
      </c>
      <c r="G26" s="23">
        <v>2</v>
      </c>
      <c r="H26" s="23">
        <v>4</v>
      </c>
      <c r="I26" s="23">
        <v>3</v>
      </c>
      <c r="J26" s="23">
        <v>3</v>
      </c>
      <c r="K26" s="23">
        <v>4</v>
      </c>
      <c r="L26" s="23"/>
      <c r="M26" s="23"/>
      <c r="N26" s="23"/>
    </row>
    <row r="27" spans="2:14" ht="18" customHeight="1" x14ac:dyDescent="0.35">
      <c r="B27" s="26" t="str">
        <f>IF('Use Cases'!B26&lt;&gt;"",'Use Cases'!B26,"")</f>
        <v>UC20</v>
      </c>
      <c r="C27" s="21" t="str">
        <f>IFERROR(VLOOKUP(B27,'Use Cases'!$B$7:$C$506,2,FALSE()),"")</f>
        <v>Claims repair network optimisation</v>
      </c>
      <c r="D27" s="22">
        <f t="shared" si="2"/>
        <v>2.7916666666666665</v>
      </c>
      <c r="E27" s="25">
        <v>1</v>
      </c>
      <c r="F27" s="25">
        <v>4</v>
      </c>
      <c r="G27" s="25">
        <v>2</v>
      </c>
      <c r="H27" s="25">
        <v>4</v>
      </c>
      <c r="I27" s="25">
        <v>3</v>
      </c>
      <c r="J27" s="25">
        <v>3</v>
      </c>
      <c r="K27" s="25">
        <v>3</v>
      </c>
      <c r="L27" s="25"/>
      <c r="M27" s="25"/>
      <c r="N27" s="25"/>
    </row>
    <row r="28" spans="2:14" ht="18" customHeight="1" x14ac:dyDescent="0.35">
      <c r="B28" s="26" t="str">
        <f>IF('Use Cases'!B27&lt;&gt;"",'Use Cases'!B27,"")</f>
        <v>UC21</v>
      </c>
      <c r="C28" s="21" t="str">
        <f>IFERROR(VLOOKUP(B28,'Use Cases'!$B$7:$C$506,2,FALSE()),"")</f>
        <v>Telematics / UBI pricing</v>
      </c>
      <c r="D28" s="22">
        <f t="shared" si="2"/>
        <v>3.3333333333333335</v>
      </c>
      <c r="E28" s="23">
        <v>5</v>
      </c>
      <c r="F28" s="23">
        <v>2</v>
      </c>
      <c r="G28" s="23">
        <v>4</v>
      </c>
      <c r="H28" s="23">
        <v>3</v>
      </c>
      <c r="I28" s="23">
        <v>5</v>
      </c>
      <c r="J28" s="23">
        <v>2</v>
      </c>
      <c r="K28" s="23">
        <v>2</v>
      </c>
      <c r="L28" s="23"/>
      <c r="M28" s="23"/>
      <c r="N28" s="23"/>
    </row>
    <row r="29" spans="2:14" ht="18" customHeight="1" x14ac:dyDescent="0.35">
      <c r="B29" s="26" t="str">
        <f>IF('Use Cases'!B28&lt;&gt;"",'Use Cases'!B28,"")</f>
        <v>UC22</v>
      </c>
      <c r="C29" s="21" t="str">
        <f>IFERROR(VLOOKUP(B29,'Use Cases'!$B$7:$C$506,2,FALSE()),"")</f>
        <v>HR &amp; workforce planning intelligence</v>
      </c>
      <c r="D29" s="22">
        <f t="shared" si="2"/>
        <v>2.4583333333333335</v>
      </c>
      <c r="E29" s="25">
        <v>1</v>
      </c>
      <c r="F29" s="25">
        <v>3</v>
      </c>
      <c r="G29" s="25">
        <v>2</v>
      </c>
      <c r="H29" s="25">
        <v>1</v>
      </c>
      <c r="I29" s="25">
        <v>2</v>
      </c>
      <c r="J29" s="25">
        <v>5</v>
      </c>
      <c r="K29" s="25">
        <v>4</v>
      </c>
      <c r="L29" s="25"/>
      <c r="M29" s="25"/>
      <c r="N29" s="25"/>
    </row>
    <row r="30" spans="2:14" ht="18" customHeight="1" x14ac:dyDescent="0.35">
      <c r="B30" s="26" t="str">
        <f>IF('Use Cases'!B29&lt;&gt;"",'Use Cases'!B29,"")</f>
        <v>UC23</v>
      </c>
      <c r="C30" s="21" t="str">
        <f>IFERROR(VLOOKUP(B30,'Use Cases'!$B$7:$C$506,2,FALSE()),"")</f>
        <v>AI co-pilot for contact centre agents</v>
      </c>
      <c r="D30" s="22">
        <f t="shared" si="2"/>
        <v>3.125</v>
      </c>
      <c r="E30" s="23">
        <v>2</v>
      </c>
      <c r="F30" s="23">
        <v>4</v>
      </c>
      <c r="G30" s="23">
        <v>3</v>
      </c>
      <c r="H30" s="23">
        <v>4</v>
      </c>
      <c r="I30" s="23">
        <v>3</v>
      </c>
      <c r="J30" s="23">
        <v>5</v>
      </c>
      <c r="K30" s="23">
        <v>2</v>
      </c>
      <c r="L30" s="23"/>
      <c r="M30" s="23"/>
      <c r="N30" s="23"/>
    </row>
    <row r="31" spans="2:14" ht="18" customHeight="1" x14ac:dyDescent="0.35">
      <c r="B31" s="26" t="str">
        <f>IF('Use Cases'!B30&lt;&gt;"",'Use Cases'!B30,"")</f>
        <v>UC24</v>
      </c>
      <c r="C31" s="21" t="str">
        <f>IFERROR(VLOOKUP(B31,'Use Cases'!$B$7:$C$506,2,FALSE()),"")</f>
        <v>CAT event claims surge management</v>
      </c>
      <c r="D31" s="22">
        <f t="shared" si="2"/>
        <v>3.375</v>
      </c>
      <c r="E31" s="25">
        <v>2</v>
      </c>
      <c r="F31" s="25">
        <v>3</v>
      </c>
      <c r="G31" s="25">
        <v>4</v>
      </c>
      <c r="H31" s="25">
        <v>5</v>
      </c>
      <c r="I31" s="25">
        <v>4</v>
      </c>
      <c r="J31" s="25">
        <v>3</v>
      </c>
      <c r="K31" s="25">
        <v>3</v>
      </c>
      <c r="L31" s="25"/>
      <c r="M31" s="25"/>
      <c r="N31" s="25"/>
    </row>
    <row r="32" spans="2:14" ht="18" customHeight="1" x14ac:dyDescent="0.35">
      <c r="B32" s="26" t="str">
        <f>IF('Use Cases'!B31&lt;&gt;"",'Use Cases'!B31,"")</f>
        <v>UC25</v>
      </c>
      <c r="C32" s="21" t="str">
        <f>IFERROR(VLOOKUP(B32,'Use Cases'!$B$7:$C$506,2,FALSE()),"")</f>
        <v>Pricing optimisation — competitive positioning</v>
      </c>
      <c r="D32" s="22">
        <f t="shared" si="2"/>
        <v>3.2083333333333335</v>
      </c>
      <c r="E32" s="23">
        <v>5</v>
      </c>
      <c r="F32" s="23">
        <v>2</v>
      </c>
      <c r="G32" s="23">
        <v>3</v>
      </c>
      <c r="H32" s="23">
        <v>2</v>
      </c>
      <c r="I32" s="23">
        <v>5</v>
      </c>
      <c r="J32" s="23">
        <v>2</v>
      </c>
      <c r="K32" s="23">
        <v>3</v>
      </c>
      <c r="L32" s="23"/>
      <c r="M32" s="23"/>
      <c r="N32" s="23"/>
    </row>
    <row r="33" spans="2:14" ht="18" customHeight="1" x14ac:dyDescent="0.35">
      <c r="B33" s="26" t="str">
        <f>IF('Use Cases'!B32&lt;&gt;"",'Use Cases'!B32,"")</f>
        <v>UC26</v>
      </c>
      <c r="C33" s="21" t="str">
        <f>IFERROR(VLOOKUP(B33,'Use Cases'!$B$7:$C$506,2,FALSE()),"")</f>
        <v>Internal knowledge management assistant</v>
      </c>
      <c r="D33" s="22">
        <f t="shared" si="2"/>
        <v>2.4166666666666665</v>
      </c>
      <c r="E33" s="25">
        <v>1</v>
      </c>
      <c r="F33" s="25">
        <v>4</v>
      </c>
      <c r="G33" s="25">
        <v>2</v>
      </c>
      <c r="H33" s="25">
        <v>2</v>
      </c>
      <c r="I33" s="25">
        <v>2</v>
      </c>
      <c r="J33" s="25">
        <v>5</v>
      </c>
      <c r="K33" s="25">
        <v>2</v>
      </c>
      <c r="L33" s="25"/>
      <c r="M33" s="25"/>
      <c r="N33" s="25"/>
    </row>
    <row r="34" spans="2:14" ht="18" customHeight="1" x14ac:dyDescent="0.35">
      <c r="B34" s="26" t="str">
        <f>IF('Use Cases'!B33&lt;&gt;"",'Use Cases'!B33,"")</f>
        <v>UC27</v>
      </c>
      <c r="C34" s="21" t="str">
        <f>IFERROR(VLOOKUP(B34,'Use Cases'!$B$7:$C$506,2,FALSE()),"")</f>
        <v>Vulnerable customer identification &amp; routing</v>
      </c>
      <c r="D34" s="22">
        <f t="shared" si="2"/>
        <v>3.0416666666666665</v>
      </c>
      <c r="E34" s="23">
        <v>1</v>
      </c>
      <c r="F34" s="23">
        <v>2</v>
      </c>
      <c r="G34" s="23">
        <v>5</v>
      </c>
      <c r="H34" s="23">
        <v>4</v>
      </c>
      <c r="I34" s="23">
        <v>3</v>
      </c>
      <c r="J34" s="23">
        <v>2</v>
      </c>
      <c r="K34" s="23">
        <v>4</v>
      </c>
      <c r="L34" s="23"/>
      <c r="M34" s="23"/>
      <c r="N34" s="23"/>
    </row>
    <row r="35" spans="2:14" ht="18" customHeight="1" x14ac:dyDescent="0.35">
      <c r="B35" s="26" t="str">
        <f>IF('Use Cases'!B34&lt;&gt;"",'Use Cases'!B34,"")</f>
        <v>UC28</v>
      </c>
      <c r="C35" s="21" t="str">
        <f>IFERROR(VLOOKUP(B35,'Use Cases'!$B$7:$C$506,2,FALSE()),"")</f>
        <v>Supplier &amp; third-party risk monitoring</v>
      </c>
      <c r="D35" s="22">
        <f t="shared" si="2"/>
        <v>2.9166666666666665</v>
      </c>
      <c r="E35" s="25">
        <v>1</v>
      </c>
      <c r="F35" s="25">
        <v>3</v>
      </c>
      <c r="G35" s="25">
        <v>4</v>
      </c>
      <c r="H35" s="25">
        <v>1</v>
      </c>
      <c r="I35" s="25">
        <v>3</v>
      </c>
      <c r="J35" s="25">
        <v>3</v>
      </c>
      <c r="K35" s="25">
        <v>5</v>
      </c>
      <c r="L35" s="25"/>
      <c r="M35" s="25"/>
      <c r="N35" s="25"/>
    </row>
    <row r="36" spans="2:14" ht="18" customHeight="1" x14ac:dyDescent="0.35">
      <c r="B36" s="26" t="str">
        <f>IF('Use Cases'!B35&lt;&gt;"",'Use Cases'!B35,"")</f>
        <v>UC29</v>
      </c>
      <c r="C36" s="21" t="str">
        <f>IFERROR(VLOOKUP(B36,'Use Cases'!$B$7:$C$506,2,FALSE()),"")</f>
        <v>Automated MI &amp; management reporting</v>
      </c>
      <c r="D36" s="22">
        <f t="shared" si="2"/>
        <v>2.2083333333333335</v>
      </c>
      <c r="E36" s="23">
        <v>1</v>
      </c>
      <c r="F36" s="23">
        <v>5</v>
      </c>
      <c r="G36" s="23">
        <v>2</v>
      </c>
      <c r="H36" s="23">
        <v>1</v>
      </c>
      <c r="I36" s="23">
        <v>2</v>
      </c>
      <c r="J36" s="23">
        <v>4</v>
      </c>
      <c r="K36" s="23">
        <v>1</v>
      </c>
      <c r="L36" s="23"/>
      <c r="M36" s="23"/>
      <c r="N36" s="23"/>
    </row>
    <row r="37" spans="2:14" ht="18" customHeight="1" x14ac:dyDescent="0.35">
      <c r="B37" s="26" t="str">
        <f>IF('Use Cases'!B36&lt;&gt;"",'Use Cases'!B36,"")</f>
        <v>UC30</v>
      </c>
      <c r="C37" s="21" t="str">
        <f>IFERROR(VLOOKUP(B37,'Use Cases'!$B$7:$C$506,2,FALSE()),"")</f>
        <v>Proactive churn prevention — personal lines</v>
      </c>
      <c r="D37" s="22">
        <f t="shared" si="2"/>
        <v>2.7083333333333335</v>
      </c>
      <c r="E37" s="25">
        <v>4</v>
      </c>
      <c r="F37" s="25">
        <v>2</v>
      </c>
      <c r="G37" s="25">
        <v>2</v>
      </c>
      <c r="H37" s="25">
        <v>4</v>
      </c>
      <c r="I37" s="25">
        <v>3</v>
      </c>
      <c r="J37" s="25">
        <v>2</v>
      </c>
      <c r="K37" s="25">
        <v>2</v>
      </c>
      <c r="L37" s="25"/>
      <c r="M37" s="25"/>
      <c r="N37" s="25"/>
    </row>
    <row r="38" spans="2:14" ht="18" customHeight="1" x14ac:dyDescent="0.35">
      <c r="B38" s="26" t="str">
        <f>IF('Use Cases'!B37&lt;&gt;"",'Use Cases'!B37,"")</f>
        <v>UC31</v>
      </c>
      <c r="C38" s="21" t="str">
        <f>IFERROR(VLOOKUP(B38,'Use Cases'!$B$7:$C$506,2,FALSE()),"")</f>
        <v>Automatic HR onboarding</v>
      </c>
      <c r="D38" s="22">
        <f t="shared" si="2"/>
        <v>2.0833333333333335</v>
      </c>
      <c r="E38" s="25">
        <v>1</v>
      </c>
      <c r="F38" s="25">
        <v>4</v>
      </c>
      <c r="G38" s="25">
        <v>3</v>
      </c>
      <c r="H38" s="25">
        <v>1</v>
      </c>
      <c r="I38" s="25">
        <v>1</v>
      </c>
      <c r="J38" s="25">
        <v>4</v>
      </c>
      <c r="K38" s="25">
        <v>1</v>
      </c>
      <c r="L38" s="25"/>
      <c r="M38" s="25"/>
      <c r="N38" s="25"/>
    </row>
    <row r="39" spans="2:14" ht="18" customHeight="1" x14ac:dyDescent="0.35">
      <c r="B39" s="26" t="str">
        <f>IF('Use Cases'!B38&lt;&gt;"",'Use Cases'!B38,"")</f>
        <v/>
      </c>
      <c r="C39" s="21" t="str">
        <f>IFERROR(VLOOKUP(B39,'Use Cases'!$B$7:$C$506,2,FALSE()),"")</f>
        <v/>
      </c>
      <c r="D39" s="22" t="str">
        <f t="shared" si="2"/>
        <v/>
      </c>
      <c r="E39" s="25"/>
      <c r="F39" s="25"/>
      <c r="G39" s="25"/>
      <c r="H39" s="25"/>
      <c r="I39" s="25"/>
      <c r="J39" s="25"/>
      <c r="K39" s="25"/>
      <c r="L39" s="25"/>
      <c r="M39" s="25"/>
      <c r="N39" s="25"/>
    </row>
    <row r="40" spans="2:14" ht="18" customHeight="1" x14ac:dyDescent="0.35">
      <c r="B40" s="26" t="str">
        <f>IF('Use Cases'!B39&lt;&gt;"",'Use Cases'!B39,"")</f>
        <v/>
      </c>
      <c r="C40" s="21" t="str">
        <f>IFERROR(VLOOKUP(B40,'Use Cases'!$B$7:$C$506,2,FALSE()),"")</f>
        <v/>
      </c>
      <c r="D40" s="22" t="str">
        <f t="shared" si="2"/>
        <v/>
      </c>
      <c r="E40" s="25"/>
      <c r="F40" s="25"/>
      <c r="G40" s="25"/>
      <c r="H40" s="25"/>
      <c r="I40" s="25"/>
      <c r="J40" s="25"/>
      <c r="K40" s="25"/>
      <c r="L40" s="25"/>
      <c r="M40" s="25"/>
      <c r="N40" s="25"/>
    </row>
    <row r="41" spans="2:14" ht="18" customHeight="1" x14ac:dyDescent="0.35">
      <c r="B41" s="26" t="str">
        <f>IF('Use Cases'!B40&lt;&gt;"",'Use Cases'!B40,"")</f>
        <v/>
      </c>
      <c r="C41" s="21" t="str">
        <f>IFERROR(VLOOKUP(B41,'Use Cases'!$B$7:$C$506,2,FALSE()),"")</f>
        <v/>
      </c>
      <c r="D41" s="22" t="str">
        <f t="shared" si="2"/>
        <v/>
      </c>
      <c r="E41" s="25"/>
      <c r="F41" s="25"/>
      <c r="G41" s="25"/>
      <c r="H41" s="25"/>
      <c r="I41" s="25"/>
      <c r="J41" s="25"/>
      <c r="K41" s="25"/>
      <c r="L41" s="25"/>
      <c r="M41" s="25"/>
      <c r="N41" s="25"/>
    </row>
    <row r="42" spans="2:14" ht="18" customHeight="1" x14ac:dyDescent="0.35">
      <c r="B42" s="26" t="str">
        <f>IF('Use Cases'!B41&lt;&gt;"",'Use Cases'!B41,"")</f>
        <v/>
      </c>
      <c r="C42" s="21" t="str">
        <f>IFERROR(VLOOKUP(B42,'Use Cases'!$B$7:$C$506,2,FALSE()),"")</f>
        <v/>
      </c>
      <c r="D42" s="22" t="str">
        <f t="shared" si="2"/>
        <v/>
      </c>
      <c r="E42" s="25"/>
      <c r="F42" s="25"/>
      <c r="G42" s="25"/>
      <c r="H42" s="25"/>
      <c r="I42" s="25"/>
      <c r="J42" s="25"/>
      <c r="K42" s="25"/>
      <c r="L42" s="25"/>
      <c r="M42" s="25"/>
      <c r="N42" s="25"/>
    </row>
    <row r="43" spans="2:14" ht="18" customHeight="1" x14ac:dyDescent="0.35">
      <c r="B43" s="26" t="str">
        <f>IF('Use Cases'!B42&lt;&gt;"",'Use Cases'!B42,"")</f>
        <v/>
      </c>
      <c r="C43" s="21" t="str">
        <f>IFERROR(VLOOKUP(B43,'Use Cases'!$B$7:$C$506,2,FALSE()),"")</f>
        <v/>
      </c>
      <c r="D43" s="22" t="str">
        <f t="shared" si="2"/>
        <v/>
      </c>
      <c r="E43" s="25"/>
      <c r="F43" s="25"/>
      <c r="G43" s="25"/>
      <c r="H43" s="25"/>
      <c r="I43" s="25"/>
      <c r="J43" s="25"/>
      <c r="K43" s="25"/>
      <c r="L43" s="25"/>
      <c r="M43" s="25"/>
      <c r="N43" s="25"/>
    </row>
    <row r="44" spans="2:14" ht="18" customHeight="1" x14ac:dyDescent="0.35">
      <c r="B44" s="26" t="str">
        <f>IF('Use Cases'!B43&lt;&gt;"",'Use Cases'!B43,"")</f>
        <v/>
      </c>
      <c r="C44" s="21" t="str">
        <f>IFERROR(VLOOKUP(B44,'Use Cases'!$B$7:$C$506,2,FALSE()),"")</f>
        <v/>
      </c>
      <c r="D44" s="22" t="str">
        <f t="shared" si="2"/>
        <v/>
      </c>
      <c r="E44" s="25"/>
      <c r="F44" s="25"/>
      <c r="G44" s="25"/>
      <c r="H44" s="25"/>
      <c r="I44" s="25"/>
      <c r="J44" s="25"/>
      <c r="K44" s="25"/>
      <c r="L44" s="25"/>
      <c r="M44" s="25"/>
      <c r="N44" s="25"/>
    </row>
    <row r="45" spans="2:14" ht="18" customHeight="1" x14ac:dyDescent="0.35">
      <c r="B45" s="26" t="str">
        <f>IF('Use Cases'!B44&lt;&gt;"",'Use Cases'!B44,"")</f>
        <v/>
      </c>
      <c r="C45" s="21" t="str">
        <f>IFERROR(VLOOKUP(B45,'Use Cases'!$B$7:$C$506,2,FALSE()),"")</f>
        <v/>
      </c>
      <c r="D45" s="22" t="str">
        <f t="shared" si="2"/>
        <v/>
      </c>
      <c r="E45" s="25"/>
      <c r="F45" s="25"/>
      <c r="G45" s="25"/>
      <c r="H45" s="25"/>
      <c r="I45" s="25"/>
      <c r="J45" s="25"/>
      <c r="K45" s="25"/>
      <c r="L45" s="25"/>
      <c r="M45" s="25"/>
      <c r="N45" s="25"/>
    </row>
    <row r="46" spans="2:14" ht="18" customHeight="1" x14ac:dyDescent="0.35">
      <c r="B46" s="26" t="str">
        <f>IF('Use Cases'!B45&lt;&gt;"",'Use Cases'!B45,"")</f>
        <v/>
      </c>
      <c r="C46" s="21" t="str">
        <f>IFERROR(VLOOKUP(B46,'Use Cases'!$B$7:$C$506,2,FALSE()),"")</f>
        <v/>
      </c>
      <c r="D46" s="22" t="str">
        <f t="shared" si="2"/>
        <v/>
      </c>
      <c r="E46" s="25"/>
      <c r="F46" s="25"/>
      <c r="G46" s="25"/>
      <c r="H46" s="25"/>
      <c r="I46" s="25"/>
      <c r="J46" s="25"/>
      <c r="K46" s="25"/>
      <c r="L46" s="25"/>
      <c r="M46" s="25"/>
      <c r="N46" s="25"/>
    </row>
    <row r="47" spans="2:14" ht="18" customHeight="1" x14ac:dyDescent="0.35">
      <c r="B47" s="26" t="str">
        <f>IF('Use Cases'!B46&lt;&gt;"",'Use Cases'!B46,"")</f>
        <v/>
      </c>
      <c r="C47" s="21" t="str">
        <f>IFERROR(VLOOKUP(B47,'Use Cases'!$B$7:$C$506,2,FALSE()),"")</f>
        <v/>
      </c>
      <c r="D47" s="22" t="str">
        <f t="shared" si="2"/>
        <v/>
      </c>
      <c r="E47" s="25"/>
      <c r="F47" s="25"/>
      <c r="G47" s="25"/>
      <c r="H47" s="25"/>
      <c r="I47" s="25"/>
      <c r="J47" s="25"/>
      <c r="K47" s="25"/>
      <c r="L47" s="25"/>
      <c r="M47" s="25"/>
      <c r="N47" s="25"/>
    </row>
    <row r="48" spans="2:14" ht="18" customHeight="1" x14ac:dyDescent="0.35">
      <c r="B48" s="26" t="str">
        <f>IF('Use Cases'!B47&lt;&gt;"",'Use Cases'!B47,"")</f>
        <v/>
      </c>
      <c r="C48" s="21" t="str">
        <f>IFERROR(VLOOKUP(B48,'Use Cases'!$B$7:$C$506,2,FALSE()),"")</f>
        <v/>
      </c>
      <c r="D48" s="22" t="str">
        <f t="shared" si="2"/>
        <v/>
      </c>
      <c r="E48" s="25"/>
      <c r="F48" s="25"/>
      <c r="G48" s="25"/>
      <c r="H48" s="25"/>
      <c r="I48" s="25"/>
      <c r="J48" s="25"/>
      <c r="K48" s="25"/>
      <c r="L48" s="25"/>
      <c r="M48" s="25"/>
      <c r="N48" s="25"/>
    </row>
    <row r="49" spans="2:14" ht="18" customHeight="1" x14ac:dyDescent="0.35">
      <c r="B49" s="26" t="str">
        <f>IF('Use Cases'!B48&lt;&gt;"",'Use Cases'!B48,"")</f>
        <v/>
      </c>
      <c r="C49" s="21" t="str">
        <f>IFERROR(VLOOKUP(B49,'Use Cases'!$B$7:$C$506,2,FALSE()),"")</f>
        <v/>
      </c>
      <c r="D49" s="22" t="str">
        <f t="shared" si="2"/>
        <v/>
      </c>
      <c r="E49" s="25"/>
      <c r="F49" s="25"/>
      <c r="G49" s="25"/>
      <c r="H49" s="25"/>
      <c r="I49" s="25"/>
      <c r="J49" s="25"/>
      <c r="K49" s="25"/>
      <c r="L49" s="25"/>
      <c r="M49" s="25"/>
      <c r="N49" s="25"/>
    </row>
    <row r="50" spans="2:14" ht="18" customHeight="1" x14ac:dyDescent="0.35">
      <c r="B50" s="26" t="str">
        <f>IF('Use Cases'!B49&lt;&gt;"",'Use Cases'!B49,"")</f>
        <v/>
      </c>
      <c r="C50" s="21" t="str">
        <f>IFERROR(VLOOKUP(B50,'Use Cases'!$B$7:$C$506,2,FALSE()),"")</f>
        <v/>
      </c>
      <c r="D50" s="22" t="str">
        <f t="shared" si="2"/>
        <v/>
      </c>
      <c r="E50" s="25"/>
      <c r="F50" s="25"/>
      <c r="G50" s="25"/>
      <c r="H50" s="25"/>
      <c r="I50" s="25"/>
      <c r="J50" s="25"/>
      <c r="K50" s="25"/>
      <c r="L50" s="25"/>
      <c r="M50" s="25"/>
      <c r="N50" s="25"/>
    </row>
    <row r="51" spans="2:14" ht="18" customHeight="1" x14ac:dyDescent="0.35">
      <c r="B51" s="26" t="str">
        <f>IF('Use Cases'!B50&lt;&gt;"",'Use Cases'!B50,"")</f>
        <v/>
      </c>
      <c r="C51" s="21" t="str">
        <f>IFERROR(VLOOKUP(B51,'Use Cases'!$B$7:$C$506,2,FALSE()),"")</f>
        <v/>
      </c>
      <c r="D51" s="22" t="str">
        <f t="shared" si="2"/>
        <v/>
      </c>
      <c r="E51" s="25"/>
      <c r="F51" s="25"/>
      <c r="G51" s="25"/>
      <c r="H51" s="25"/>
      <c r="I51" s="25"/>
      <c r="J51" s="25"/>
      <c r="K51" s="25"/>
      <c r="L51" s="25"/>
      <c r="M51" s="25"/>
      <c r="N51" s="25"/>
    </row>
    <row r="52" spans="2:14" ht="18" customHeight="1" x14ac:dyDescent="0.35">
      <c r="B52" s="26" t="str">
        <f>IF('Use Cases'!B51&lt;&gt;"",'Use Cases'!B51,"")</f>
        <v/>
      </c>
      <c r="C52" s="21" t="str">
        <f>IFERROR(VLOOKUP(B52,'Use Cases'!$B$7:$C$506,2,FALSE()),"")</f>
        <v/>
      </c>
      <c r="D52" s="22" t="str">
        <f t="shared" si="2"/>
        <v/>
      </c>
      <c r="E52" s="25"/>
      <c r="F52" s="25"/>
      <c r="G52" s="25"/>
      <c r="H52" s="25"/>
      <c r="I52" s="25"/>
      <c r="J52" s="25"/>
      <c r="K52" s="25"/>
      <c r="L52" s="25"/>
      <c r="M52" s="25"/>
      <c r="N52" s="25"/>
    </row>
    <row r="53" spans="2:14" ht="18" customHeight="1" x14ac:dyDescent="0.35">
      <c r="B53" s="26" t="str">
        <f>IF('Use Cases'!B52&lt;&gt;"",'Use Cases'!B52,"")</f>
        <v/>
      </c>
      <c r="C53" s="21" t="str">
        <f>IFERROR(VLOOKUP(B53,'Use Cases'!$B$7:$C$506,2,FALSE()),"")</f>
        <v/>
      </c>
      <c r="D53" s="22" t="str">
        <f t="shared" si="2"/>
        <v/>
      </c>
      <c r="E53" s="25"/>
      <c r="F53" s="25"/>
      <c r="G53" s="25"/>
      <c r="H53" s="25"/>
      <c r="I53" s="25"/>
      <c r="J53" s="25"/>
      <c r="K53" s="25"/>
      <c r="L53" s="25"/>
      <c r="M53" s="25"/>
      <c r="N53" s="25"/>
    </row>
    <row r="54" spans="2:14" ht="18" customHeight="1" x14ac:dyDescent="0.35">
      <c r="B54" s="26" t="str">
        <f>IF('Use Cases'!B53&lt;&gt;"",'Use Cases'!B53,"")</f>
        <v/>
      </c>
      <c r="C54" s="21" t="str">
        <f>IFERROR(VLOOKUP(B54,'Use Cases'!$B$7:$C$506,2,FALSE()),"")</f>
        <v/>
      </c>
      <c r="D54" s="22" t="str">
        <f t="shared" si="2"/>
        <v/>
      </c>
      <c r="E54" s="25"/>
      <c r="F54" s="25"/>
      <c r="G54" s="25"/>
      <c r="H54" s="25"/>
      <c r="I54" s="25"/>
      <c r="J54" s="25"/>
      <c r="K54" s="25"/>
      <c r="L54" s="25"/>
      <c r="M54" s="25"/>
      <c r="N54" s="25"/>
    </row>
    <row r="55" spans="2:14" ht="18" customHeight="1" x14ac:dyDescent="0.35">
      <c r="B55" s="26" t="str">
        <f>IF('Use Cases'!B54&lt;&gt;"",'Use Cases'!B54,"")</f>
        <v/>
      </c>
      <c r="C55" s="21" t="str">
        <f>IFERROR(VLOOKUP(B55,'Use Cases'!$B$7:$C$506,2,FALSE()),"")</f>
        <v/>
      </c>
      <c r="D55" s="22" t="str">
        <f t="shared" si="2"/>
        <v/>
      </c>
      <c r="E55" s="25"/>
      <c r="F55" s="25"/>
      <c r="G55" s="25"/>
      <c r="H55" s="25"/>
      <c r="I55" s="25"/>
      <c r="J55" s="25"/>
      <c r="K55" s="25"/>
      <c r="L55" s="25"/>
      <c r="M55" s="25"/>
      <c r="N55" s="25"/>
    </row>
    <row r="56" spans="2:14" ht="18" customHeight="1" x14ac:dyDescent="0.35">
      <c r="B56" s="26" t="str">
        <f>IF('Use Cases'!B55&lt;&gt;"",'Use Cases'!B55,"")</f>
        <v/>
      </c>
      <c r="C56" s="21" t="str">
        <f>IFERROR(VLOOKUP(B56,'Use Cases'!$B$7:$C$506,2,FALSE()),"")</f>
        <v/>
      </c>
      <c r="D56" s="22" t="str">
        <f t="shared" si="2"/>
        <v/>
      </c>
      <c r="E56" s="25"/>
      <c r="F56" s="25"/>
      <c r="G56" s="25"/>
      <c r="H56" s="25"/>
      <c r="I56" s="25"/>
      <c r="J56" s="25"/>
      <c r="K56" s="25"/>
      <c r="L56" s="25"/>
      <c r="M56" s="25"/>
      <c r="N56" s="25"/>
    </row>
    <row r="57" spans="2:14" ht="18" customHeight="1" x14ac:dyDescent="0.35">
      <c r="B57" s="26" t="str">
        <f>IF('Use Cases'!B56&lt;&gt;"",'Use Cases'!B56,"")</f>
        <v/>
      </c>
      <c r="C57" s="21" t="str">
        <f>IFERROR(VLOOKUP(B57,'Use Cases'!$B$7:$C$506,2,FALSE()),"")</f>
        <v/>
      </c>
      <c r="D57" s="22" t="str">
        <f t="shared" si="2"/>
        <v/>
      </c>
      <c r="E57" s="25"/>
      <c r="F57" s="25"/>
      <c r="G57" s="25"/>
      <c r="H57" s="25"/>
      <c r="I57" s="25"/>
      <c r="J57" s="25"/>
      <c r="K57" s="25"/>
      <c r="L57" s="25"/>
      <c r="M57" s="25"/>
      <c r="N57" s="25"/>
    </row>
    <row r="58" spans="2:14" ht="18" customHeight="1" x14ac:dyDescent="0.35">
      <c r="B58" s="26" t="str">
        <f>IF('Use Cases'!B57&lt;&gt;"",'Use Cases'!B57,"")</f>
        <v/>
      </c>
      <c r="C58" s="21" t="str">
        <f>IFERROR(VLOOKUP(B58,'Use Cases'!$B$7:$C$506,2,FALSE()),"")</f>
        <v/>
      </c>
      <c r="D58" s="22" t="str">
        <f t="shared" si="2"/>
        <v/>
      </c>
      <c r="E58" s="25"/>
      <c r="F58" s="25"/>
      <c r="G58" s="25"/>
      <c r="H58" s="25"/>
      <c r="I58" s="25"/>
      <c r="J58" s="25"/>
      <c r="K58" s="25"/>
      <c r="L58" s="25"/>
      <c r="M58" s="25"/>
      <c r="N58" s="25"/>
    </row>
    <row r="59" spans="2:14" ht="18" customHeight="1" x14ac:dyDescent="0.35">
      <c r="B59" s="26" t="str">
        <f>IF('Use Cases'!B58&lt;&gt;"",'Use Cases'!B58,"")</f>
        <v/>
      </c>
      <c r="C59" s="21" t="str">
        <f>IFERROR(VLOOKUP(B59,'Use Cases'!$B$7:$C$506,2,FALSE()),"")</f>
        <v/>
      </c>
      <c r="D59" s="22" t="str">
        <f t="shared" si="2"/>
        <v/>
      </c>
      <c r="E59" s="25"/>
      <c r="F59" s="25"/>
      <c r="G59" s="25"/>
      <c r="H59" s="25"/>
      <c r="I59" s="25"/>
      <c r="J59" s="25"/>
      <c r="K59" s="25"/>
      <c r="L59" s="25"/>
      <c r="M59" s="25"/>
      <c r="N59" s="25"/>
    </row>
    <row r="60" spans="2:14" ht="18" customHeight="1" x14ac:dyDescent="0.35">
      <c r="B60" s="26" t="str">
        <f>IF('Use Cases'!B59&lt;&gt;"",'Use Cases'!B59,"")</f>
        <v/>
      </c>
      <c r="C60" s="21" t="str">
        <f>IFERROR(VLOOKUP(B60,'Use Cases'!$B$7:$C$506,2,FALSE()),"")</f>
        <v/>
      </c>
      <c r="D60" s="22" t="str">
        <f t="shared" si="2"/>
        <v/>
      </c>
      <c r="E60" s="25"/>
      <c r="F60" s="25"/>
      <c r="G60" s="25"/>
      <c r="H60" s="25"/>
      <c r="I60" s="25"/>
      <c r="J60" s="25"/>
      <c r="K60" s="25"/>
      <c r="L60" s="25"/>
      <c r="M60" s="25"/>
      <c r="N60" s="25"/>
    </row>
    <row r="61" spans="2:14" ht="18" customHeight="1" x14ac:dyDescent="0.35">
      <c r="B61" s="26" t="str">
        <f>IF('Use Cases'!B60&lt;&gt;"",'Use Cases'!B60,"")</f>
        <v/>
      </c>
      <c r="C61" s="21" t="str">
        <f>IFERROR(VLOOKUP(B61,'Use Cases'!$B$7:$C$506,2,FALSE()),"")</f>
        <v/>
      </c>
      <c r="D61" s="22" t="str">
        <f t="shared" si="2"/>
        <v/>
      </c>
      <c r="E61" s="25"/>
      <c r="F61" s="25"/>
      <c r="G61" s="25"/>
      <c r="H61" s="25"/>
      <c r="I61" s="25"/>
      <c r="J61" s="25"/>
      <c r="K61" s="25"/>
      <c r="L61" s="25"/>
      <c r="M61" s="25"/>
      <c r="N61" s="25"/>
    </row>
    <row r="62" spans="2:14" ht="18" customHeight="1" x14ac:dyDescent="0.35">
      <c r="B62" s="26" t="str">
        <f>IF('Use Cases'!B61&lt;&gt;"",'Use Cases'!B61,"")</f>
        <v/>
      </c>
      <c r="C62" s="21" t="str">
        <f>IFERROR(VLOOKUP(B62,'Use Cases'!$B$7:$C$506,2,FALSE()),"")</f>
        <v/>
      </c>
      <c r="D62" s="22" t="str">
        <f t="shared" si="2"/>
        <v/>
      </c>
      <c r="E62" s="25"/>
      <c r="F62" s="25"/>
      <c r="G62" s="25"/>
      <c r="H62" s="25"/>
      <c r="I62" s="25"/>
      <c r="J62" s="25"/>
      <c r="K62" s="25"/>
      <c r="L62" s="25"/>
      <c r="M62" s="25"/>
      <c r="N62" s="25"/>
    </row>
    <row r="63" spans="2:14" ht="18" customHeight="1" x14ac:dyDescent="0.35">
      <c r="B63" s="26" t="str">
        <f>IF('Use Cases'!B62&lt;&gt;"",'Use Cases'!B62,"")</f>
        <v/>
      </c>
      <c r="C63" s="21" t="str">
        <f>IFERROR(VLOOKUP(B63,'Use Cases'!$B$7:$C$506,2,FALSE()),"")</f>
        <v/>
      </c>
      <c r="D63" s="22" t="str">
        <f t="shared" si="2"/>
        <v/>
      </c>
      <c r="E63" s="25"/>
      <c r="F63" s="25"/>
      <c r="G63" s="25"/>
      <c r="H63" s="25"/>
      <c r="I63" s="25"/>
      <c r="J63" s="25"/>
      <c r="K63" s="25"/>
      <c r="L63" s="25"/>
      <c r="M63" s="25"/>
      <c r="N63" s="25"/>
    </row>
    <row r="64" spans="2:14" ht="18" customHeight="1" x14ac:dyDescent="0.35">
      <c r="B64" s="26" t="str">
        <f>IF('Use Cases'!B63&lt;&gt;"",'Use Cases'!B63,"")</f>
        <v/>
      </c>
      <c r="C64" s="21" t="str">
        <f>IFERROR(VLOOKUP(B64,'Use Cases'!$B$7:$C$506,2,FALSE()),"")</f>
        <v/>
      </c>
      <c r="D64" s="22" t="str">
        <f t="shared" si="2"/>
        <v/>
      </c>
      <c r="E64" s="25"/>
      <c r="F64" s="25"/>
      <c r="G64" s="25"/>
      <c r="H64" s="25"/>
      <c r="I64" s="25"/>
      <c r="J64" s="25"/>
      <c r="K64" s="25"/>
      <c r="L64" s="25"/>
      <c r="M64" s="25"/>
      <c r="N64" s="25"/>
    </row>
    <row r="65" spans="2:14" ht="18" customHeight="1" x14ac:dyDescent="0.35">
      <c r="B65" s="26" t="str">
        <f>IF('Use Cases'!B64&lt;&gt;"",'Use Cases'!B64,"")</f>
        <v/>
      </c>
      <c r="C65" s="21" t="str">
        <f>IFERROR(VLOOKUP(B65,'Use Cases'!$B$7:$C$506,2,FALSE()),"")</f>
        <v/>
      </c>
      <c r="D65" s="22" t="str">
        <f t="shared" si="2"/>
        <v/>
      </c>
      <c r="E65" s="25"/>
      <c r="F65" s="25"/>
      <c r="G65" s="25"/>
      <c r="H65" s="25"/>
      <c r="I65" s="25"/>
      <c r="J65" s="25"/>
      <c r="K65" s="25"/>
      <c r="L65" s="25"/>
      <c r="M65" s="25"/>
      <c r="N65" s="25"/>
    </row>
    <row r="66" spans="2:14" ht="18" customHeight="1" x14ac:dyDescent="0.35">
      <c r="B66" s="26" t="str">
        <f>IF('Use Cases'!B65&lt;&gt;"",'Use Cases'!B65,"")</f>
        <v/>
      </c>
      <c r="C66" s="21" t="str">
        <f>IFERROR(VLOOKUP(B66,'Use Cases'!$B$7:$C$506,2,FALSE()),"")</f>
        <v/>
      </c>
      <c r="D66" s="22" t="str">
        <f t="shared" si="2"/>
        <v/>
      </c>
      <c r="E66" s="25"/>
      <c r="F66" s="25"/>
      <c r="G66" s="25"/>
      <c r="H66" s="25"/>
      <c r="I66" s="25"/>
      <c r="J66" s="25"/>
      <c r="K66" s="25"/>
      <c r="L66" s="25"/>
      <c r="M66" s="25"/>
      <c r="N66" s="25"/>
    </row>
    <row r="67" spans="2:14" ht="18" customHeight="1" x14ac:dyDescent="0.35">
      <c r="B67" s="26" t="str">
        <f>IF('Use Cases'!B66&lt;&gt;"",'Use Cases'!B66,"")</f>
        <v/>
      </c>
      <c r="C67" s="21" t="str">
        <f>IFERROR(VLOOKUP(B67,'Use Cases'!$B$7:$C$506,2,FALSE()),"")</f>
        <v/>
      </c>
      <c r="D67" s="22" t="str">
        <f t="shared" si="2"/>
        <v/>
      </c>
      <c r="E67" s="25"/>
      <c r="F67" s="25"/>
      <c r="G67" s="25"/>
      <c r="H67" s="25"/>
      <c r="I67" s="25"/>
      <c r="J67" s="25"/>
      <c r="K67" s="25"/>
      <c r="L67" s="25"/>
      <c r="M67" s="25"/>
      <c r="N67" s="25"/>
    </row>
    <row r="68" spans="2:14" ht="18" customHeight="1" x14ac:dyDescent="0.35">
      <c r="B68" s="26" t="str">
        <f>IF('Use Cases'!B67&lt;&gt;"",'Use Cases'!B67,"")</f>
        <v/>
      </c>
      <c r="C68" s="21" t="str">
        <f>IFERROR(VLOOKUP(B68,'Use Cases'!$B$7:$C$506,2,FALSE()),"")</f>
        <v/>
      </c>
      <c r="D68" s="22" t="str">
        <f t="shared" si="2"/>
        <v/>
      </c>
      <c r="E68" s="25"/>
      <c r="F68" s="25"/>
      <c r="G68" s="25"/>
      <c r="H68" s="25"/>
      <c r="I68" s="25"/>
      <c r="J68" s="25"/>
      <c r="K68" s="25"/>
      <c r="L68" s="25"/>
      <c r="M68" s="25"/>
      <c r="N68" s="25"/>
    </row>
    <row r="69" spans="2:14" ht="18" customHeight="1" x14ac:dyDescent="0.35">
      <c r="B69" s="26" t="str">
        <f>IF('Use Cases'!B68&lt;&gt;"",'Use Cases'!B68,"")</f>
        <v/>
      </c>
      <c r="C69" s="21" t="str">
        <f>IFERROR(VLOOKUP(B69,'Use Cases'!$B$7:$C$506,2,FALSE()),"")</f>
        <v/>
      </c>
      <c r="D69" s="22" t="str">
        <f t="shared" si="2"/>
        <v/>
      </c>
      <c r="E69" s="25"/>
      <c r="F69" s="25"/>
      <c r="G69" s="25"/>
      <c r="H69" s="25"/>
      <c r="I69" s="25"/>
      <c r="J69" s="25"/>
      <c r="K69" s="25"/>
      <c r="L69" s="25"/>
      <c r="M69" s="25"/>
      <c r="N69" s="25"/>
    </row>
    <row r="70" spans="2:14" ht="18" customHeight="1" x14ac:dyDescent="0.35">
      <c r="B70" s="26" t="str">
        <f>IF('Use Cases'!B69&lt;&gt;"",'Use Cases'!B69,"")</f>
        <v/>
      </c>
      <c r="C70" s="21" t="str">
        <f>IFERROR(VLOOKUP(B70,'Use Cases'!$B$7:$C$506,2,FALSE()),"")</f>
        <v/>
      </c>
      <c r="D70" s="22" t="str">
        <f t="shared" si="2"/>
        <v/>
      </c>
      <c r="E70" s="25"/>
      <c r="F70" s="25"/>
      <c r="G70" s="25"/>
      <c r="H70" s="25"/>
      <c r="I70" s="25"/>
      <c r="J70" s="25"/>
      <c r="K70" s="25"/>
      <c r="L70" s="25"/>
      <c r="M70" s="25"/>
      <c r="N70" s="25"/>
    </row>
    <row r="71" spans="2:14" ht="18" customHeight="1" x14ac:dyDescent="0.35">
      <c r="B71" s="26" t="str">
        <f>IF('Use Cases'!B70&lt;&gt;"",'Use Cases'!B70,"")</f>
        <v/>
      </c>
      <c r="C71" s="21" t="str">
        <f>IFERROR(VLOOKUP(B71,'Use Cases'!$B$7:$C$506,2,FALSE()),"")</f>
        <v/>
      </c>
      <c r="D71" s="22" t="str">
        <f t="shared" si="2"/>
        <v/>
      </c>
      <c r="E71" s="25"/>
      <c r="F71" s="25"/>
      <c r="G71" s="25"/>
      <c r="H71" s="25"/>
      <c r="I71" s="25"/>
      <c r="J71" s="25"/>
      <c r="K71" s="25"/>
      <c r="L71" s="25"/>
      <c r="M71" s="25"/>
      <c r="N71" s="25"/>
    </row>
    <row r="72" spans="2:14" ht="18" customHeight="1" x14ac:dyDescent="0.35">
      <c r="B72" s="26" t="str">
        <f>IF('Use Cases'!B71&lt;&gt;"",'Use Cases'!B71,"")</f>
        <v/>
      </c>
      <c r="C72" s="21" t="str">
        <f>IFERROR(VLOOKUP(B72,'Use Cases'!$B$7:$C$506,2,FALSE()),"")</f>
        <v/>
      </c>
      <c r="D72" s="22" t="str">
        <f t="shared" si="2"/>
        <v/>
      </c>
      <c r="E72" s="25"/>
      <c r="F72" s="25"/>
      <c r="G72" s="25"/>
      <c r="H72" s="25"/>
      <c r="I72" s="25"/>
      <c r="J72" s="25"/>
      <c r="K72" s="25"/>
      <c r="L72" s="25"/>
      <c r="M72" s="25"/>
      <c r="N72" s="25"/>
    </row>
    <row r="73" spans="2:14" ht="18" customHeight="1" x14ac:dyDescent="0.35">
      <c r="B73" s="26" t="str">
        <f>IF('Use Cases'!B72&lt;&gt;"",'Use Cases'!B72,"")</f>
        <v/>
      </c>
      <c r="C73" s="21" t="str">
        <f>IFERROR(VLOOKUP(B73,'Use Cases'!$B$7:$C$506,2,FALSE()),"")</f>
        <v/>
      </c>
      <c r="D73" s="22" t="str">
        <f t="shared" ref="D73:D100" si="3">IF(B73&lt;&gt;"",IFERROR(SUMPRODUCT(E73:N73,E$7:N$7)/SUM(E$7:N$7),""),"")</f>
        <v/>
      </c>
      <c r="E73" s="25"/>
      <c r="F73" s="25"/>
      <c r="G73" s="25"/>
      <c r="H73" s="25"/>
      <c r="I73" s="25"/>
      <c r="J73" s="25"/>
      <c r="K73" s="25"/>
      <c r="L73" s="25"/>
      <c r="M73" s="25"/>
      <c r="N73" s="25"/>
    </row>
    <row r="74" spans="2:14" ht="18" customHeight="1" x14ac:dyDescent="0.35">
      <c r="B74" s="26" t="str">
        <f>IF('Use Cases'!B73&lt;&gt;"",'Use Cases'!B73,"")</f>
        <v/>
      </c>
      <c r="C74" s="21" t="str">
        <f>IFERROR(VLOOKUP(B74,'Use Cases'!$B$7:$C$506,2,FALSE()),"")</f>
        <v/>
      </c>
      <c r="D74" s="22" t="str">
        <f t="shared" si="3"/>
        <v/>
      </c>
      <c r="E74" s="25"/>
      <c r="F74" s="25"/>
      <c r="G74" s="25"/>
      <c r="H74" s="25"/>
      <c r="I74" s="25"/>
      <c r="J74" s="25"/>
      <c r="K74" s="25"/>
      <c r="L74" s="25"/>
      <c r="M74" s="25"/>
      <c r="N74" s="25"/>
    </row>
    <row r="75" spans="2:14" ht="18" customHeight="1" x14ac:dyDescent="0.35">
      <c r="B75" s="26" t="str">
        <f>IF('Use Cases'!B74&lt;&gt;"",'Use Cases'!B74,"")</f>
        <v/>
      </c>
      <c r="C75" s="21" t="str">
        <f>IFERROR(VLOOKUP(B75,'Use Cases'!$B$7:$C$506,2,FALSE()),"")</f>
        <v/>
      </c>
      <c r="D75" s="22" t="str">
        <f t="shared" si="3"/>
        <v/>
      </c>
      <c r="E75" s="25"/>
      <c r="F75" s="25"/>
      <c r="G75" s="25"/>
      <c r="H75" s="25"/>
      <c r="I75" s="25"/>
      <c r="J75" s="25"/>
      <c r="K75" s="25"/>
      <c r="L75" s="25"/>
      <c r="M75" s="25"/>
      <c r="N75" s="25"/>
    </row>
    <row r="76" spans="2:14" ht="18" customHeight="1" x14ac:dyDescent="0.35">
      <c r="B76" s="26" t="str">
        <f>IF('Use Cases'!B75&lt;&gt;"",'Use Cases'!B75,"")</f>
        <v/>
      </c>
      <c r="C76" s="21" t="str">
        <f>IFERROR(VLOOKUP(B76,'Use Cases'!$B$7:$C$506,2,FALSE()),"")</f>
        <v/>
      </c>
      <c r="D76" s="22" t="str">
        <f t="shared" si="3"/>
        <v/>
      </c>
      <c r="E76" s="25"/>
      <c r="F76" s="25"/>
      <c r="G76" s="25"/>
      <c r="H76" s="25"/>
      <c r="I76" s="25"/>
      <c r="J76" s="25"/>
      <c r="K76" s="25"/>
      <c r="L76" s="25"/>
      <c r="M76" s="25"/>
      <c r="N76" s="25"/>
    </row>
    <row r="77" spans="2:14" ht="18" customHeight="1" x14ac:dyDescent="0.35">
      <c r="B77" s="26" t="str">
        <f>IF('Use Cases'!B76&lt;&gt;"",'Use Cases'!B76,"")</f>
        <v/>
      </c>
      <c r="C77" s="21" t="str">
        <f>IFERROR(VLOOKUP(B77,'Use Cases'!$B$7:$C$506,2,FALSE()),"")</f>
        <v/>
      </c>
      <c r="D77" s="22" t="str">
        <f t="shared" si="3"/>
        <v/>
      </c>
      <c r="E77" s="25"/>
      <c r="F77" s="25"/>
      <c r="G77" s="25"/>
      <c r="H77" s="25"/>
      <c r="I77" s="25"/>
      <c r="J77" s="25"/>
      <c r="K77" s="25"/>
      <c r="L77" s="25"/>
      <c r="M77" s="25"/>
      <c r="N77" s="25"/>
    </row>
    <row r="78" spans="2:14" ht="18" customHeight="1" x14ac:dyDescent="0.35">
      <c r="B78" s="26" t="str">
        <f>IF('Use Cases'!B77&lt;&gt;"",'Use Cases'!B77,"")</f>
        <v/>
      </c>
      <c r="C78" s="21" t="str">
        <f>IFERROR(VLOOKUP(B78,'Use Cases'!$B$7:$C$506,2,FALSE()),"")</f>
        <v/>
      </c>
      <c r="D78" s="22" t="str">
        <f t="shared" si="3"/>
        <v/>
      </c>
      <c r="E78" s="25"/>
      <c r="F78" s="25"/>
      <c r="G78" s="25"/>
      <c r="H78" s="25"/>
      <c r="I78" s="25"/>
      <c r="J78" s="25"/>
      <c r="K78" s="25"/>
      <c r="L78" s="25"/>
      <c r="M78" s="25"/>
      <c r="N78" s="25"/>
    </row>
    <row r="79" spans="2:14" ht="18" customHeight="1" x14ac:dyDescent="0.35">
      <c r="B79" s="26" t="str">
        <f>IF('Use Cases'!B78&lt;&gt;"",'Use Cases'!B78,"")</f>
        <v/>
      </c>
      <c r="C79" s="21" t="str">
        <f>IFERROR(VLOOKUP(B79,'Use Cases'!$B$7:$C$506,2,FALSE()),"")</f>
        <v/>
      </c>
      <c r="D79" s="22" t="str">
        <f t="shared" si="3"/>
        <v/>
      </c>
      <c r="E79" s="25"/>
      <c r="F79" s="25"/>
      <c r="G79" s="25"/>
      <c r="H79" s="25"/>
      <c r="I79" s="25"/>
      <c r="J79" s="25"/>
      <c r="K79" s="25"/>
      <c r="L79" s="25"/>
      <c r="M79" s="25"/>
      <c r="N79" s="25"/>
    </row>
    <row r="80" spans="2:14" ht="18" customHeight="1" x14ac:dyDescent="0.35">
      <c r="B80" s="26" t="str">
        <f>IF('Use Cases'!B79&lt;&gt;"",'Use Cases'!B79,"")</f>
        <v/>
      </c>
      <c r="C80" s="21" t="str">
        <f>IFERROR(VLOOKUP(B80,'Use Cases'!$B$7:$C$506,2,FALSE()),"")</f>
        <v/>
      </c>
      <c r="D80" s="22" t="str">
        <f t="shared" si="3"/>
        <v/>
      </c>
      <c r="E80" s="25"/>
      <c r="F80" s="25"/>
      <c r="G80" s="25"/>
      <c r="H80" s="25"/>
      <c r="I80" s="25"/>
      <c r="J80" s="25"/>
      <c r="K80" s="25"/>
      <c r="L80" s="25"/>
      <c r="M80" s="25"/>
      <c r="N80" s="25"/>
    </row>
    <row r="81" spans="2:14" ht="18" customHeight="1" x14ac:dyDescent="0.35">
      <c r="B81" s="26" t="str">
        <f>IF('Use Cases'!B80&lt;&gt;"",'Use Cases'!B80,"")</f>
        <v/>
      </c>
      <c r="C81" s="21" t="str">
        <f>IFERROR(VLOOKUP(B81,'Use Cases'!$B$7:$C$506,2,FALSE()),"")</f>
        <v/>
      </c>
      <c r="D81" s="22" t="str">
        <f t="shared" si="3"/>
        <v/>
      </c>
      <c r="E81" s="25"/>
      <c r="F81" s="25"/>
      <c r="G81" s="25"/>
      <c r="H81" s="25"/>
      <c r="I81" s="25"/>
      <c r="J81" s="25"/>
      <c r="K81" s="25"/>
      <c r="L81" s="25"/>
      <c r="M81" s="25"/>
      <c r="N81" s="25"/>
    </row>
    <row r="82" spans="2:14" ht="18" customHeight="1" x14ac:dyDescent="0.35">
      <c r="B82" s="26" t="str">
        <f>IF('Use Cases'!B81&lt;&gt;"",'Use Cases'!B81,"")</f>
        <v/>
      </c>
      <c r="C82" s="21" t="str">
        <f>IFERROR(VLOOKUP(B82,'Use Cases'!$B$7:$C$506,2,FALSE()),"")</f>
        <v/>
      </c>
      <c r="D82" s="22" t="str">
        <f t="shared" si="3"/>
        <v/>
      </c>
      <c r="E82" s="25"/>
      <c r="F82" s="25"/>
      <c r="G82" s="25"/>
      <c r="H82" s="25"/>
      <c r="I82" s="25"/>
      <c r="J82" s="25"/>
      <c r="K82" s="25"/>
      <c r="L82" s="25"/>
      <c r="M82" s="25"/>
      <c r="N82" s="25"/>
    </row>
    <row r="83" spans="2:14" ht="18" customHeight="1" x14ac:dyDescent="0.35">
      <c r="B83" s="26" t="str">
        <f>IF('Use Cases'!B82&lt;&gt;"",'Use Cases'!B82,"")</f>
        <v/>
      </c>
      <c r="C83" s="21" t="str">
        <f>IFERROR(VLOOKUP(B83,'Use Cases'!$B$7:$C$506,2,FALSE()),"")</f>
        <v/>
      </c>
      <c r="D83" s="22" t="str">
        <f t="shared" si="3"/>
        <v/>
      </c>
      <c r="E83" s="25"/>
      <c r="F83" s="25"/>
      <c r="G83" s="25"/>
      <c r="H83" s="25"/>
      <c r="I83" s="25"/>
      <c r="J83" s="25"/>
      <c r="K83" s="25"/>
      <c r="L83" s="25"/>
      <c r="M83" s="25"/>
      <c r="N83" s="25"/>
    </row>
    <row r="84" spans="2:14" ht="18" customHeight="1" x14ac:dyDescent="0.35">
      <c r="B84" s="26" t="str">
        <f>IF('Use Cases'!B83&lt;&gt;"",'Use Cases'!B83,"")</f>
        <v/>
      </c>
      <c r="C84" s="21" t="str">
        <f>IFERROR(VLOOKUP(B84,'Use Cases'!$B$7:$C$506,2,FALSE()),"")</f>
        <v/>
      </c>
      <c r="D84" s="22" t="str">
        <f t="shared" si="3"/>
        <v/>
      </c>
      <c r="E84" s="25"/>
      <c r="F84" s="25"/>
      <c r="G84" s="25"/>
      <c r="H84" s="25"/>
      <c r="I84" s="25"/>
      <c r="J84" s="25"/>
      <c r="K84" s="25"/>
      <c r="L84" s="25"/>
      <c r="M84" s="25"/>
      <c r="N84" s="25"/>
    </row>
    <row r="85" spans="2:14" ht="18" customHeight="1" x14ac:dyDescent="0.35">
      <c r="B85" s="26" t="str">
        <f>IF('Use Cases'!B84&lt;&gt;"",'Use Cases'!B84,"")</f>
        <v/>
      </c>
      <c r="C85" s="21" t="str">
        <f>IFERROR(VLOOKUP(B85,'Use Cases'!$B$7:$C$506,2,FALSE()),"")</f>
        <v/>
      </c>
      <c r="D85" s="22" t="str">
        <f t="shared" si="3"/>
        <v/>
      </c>
      <c r="E85" s="25"/>
      <c r="F85" s="25"/>
      <c r="G85" s="25"/>
      <c r="H85" s="25"/>
      <c r="I85" s="25"/>
      <c r="J85" s="25"/>
      <c r="K85" s="25"/>
      <c r="L85" s="25"/>
      <c r="M85" s="25"/>
      <c r="N85" s="25"/>
    </row>
    <row r="86" spans="2:14" ht="18" customHeight="1" x14ac:dyDescent="0.35">
      <c r="B86" s="26" t="str">
        <f>IF('Use Cases'!B85&lt;&gt;"",'Use Cases'!B85,"")</f>
        <v/>
      </c>
      <c r="C86" s="21" t="str">
        <f>IFERROR(VLOOKUP(B86,'Use Cases'!$B$7:$C$506,2,FALSE()),"")</f>
        <v/>
      </c>
      <c r="D86" s="22" t="str">
        <f t="shared" si="3"/>
        <v/>
      </c>
      <c r="E86" s="25"/>
      <c r="F86" s="25"/>
      <c r="G86" s="25"/>
      <c r="H86" s="25"/>
      <c r="I86" s="25"/>
      <c r="J86" s="25"/>
      <c r="K86" s="25"/>
      <c r="L86" s="25"/>
      <c r="M86" s="25"/>
      <c r="N86" s="25"/>
    </row>
    <row r="87" spans="2:14" ht="18" customHeight="1" x14ac:dyDescent="0.35">
      <c r="B87" s="26" t="str">
        <f>IF('Use Cases'!B86&lt;&gt;"",'Use Cases'!B86,"")</f>
        <v/>
      </c>
      <c r="C87" s="21" t="str">
        <f>IFERROR(VLOOKUP(B87,'Use Cases'!$B$7:$C$506,2,FALSE()),"")</f>
        <v/>
      </c>
      <c r="D87" s="22" t="str">
        <f t="shared" si="3"/>
        <v/>
      </c>
      <c r="E87" s="25"/>
      <c r="F87" s="25"/>
      <c r="G87" s="25"/>
      <c r="H87" s="25"/>
      <c r="I87" s="25"/>
      <c r="J87" s="25"/>
      <c r="K87" s="25"/>
      <c r="L87" s="25"/>
      <c r="M87" s="25"/>
      <c r="N87" s="25"/>
    </row>
    <row r="88" spans="2:14" ht="18" customHeight="1" x14ac:dyDescent="0.35">
      <c r="B88" s="26" t="str">
        <f>IF('Use Cases'!B87&lt;&gt;"",'Use Cases'!B87,"")</f>
        <v/>
      </c>
      <c r="C88" s="21" t="str">
        <f>IFERROR(VLOOKUP(B88,'Use Cases'!$B$7:$C$506,2,FALSE()),"")</f>
        <v/>
      </c>
      <c r="D88" s="22" t="str">
        <f t="shared" si="3"/>
        <v/>
      </c>
      <c r="E88" s="25"/>
      <c r="F88" s="25"/>
      <c r="G88" s="25"/>
      <c r="H88" s="25"/>
      <c r="I88" s="25"/>
      <c r="J88" s="25"/>
      <c r="K88" s="25"/>
      <c r="L88" s="25"/>
      <c r="M88" s="25"/>
      <c r="N88" s="25"/>
    </row>
    <row r="89" spans="2:14" ht="18" customHeight="1" x14ac:dyDescent="0.35">
      <c r="B89" s="26" t="str">
        <f>IF('Use Cases'!B88&lt;&gt;"",'Use Cases'!B88,"")</f>
        <v/>
      </c>
      <c r="C89" s="21" t="str">
        <f>IFERROR(VLOOKUP(B89,'Use Cases'!$B$7:$C$506,2,FALSE()),"")</f>
        <v/>
      </c>
      <c r="D89" s="22" t="str">
        <f t="shared" si="3"/>
        <v/>
      </c>
      <c r="E89" s="25"/>
      <c r="F89" s="25"/>
      <c r="G89" s="25"/>
      <c r="H89" s="25"/>
      <c r="I89" s="25"/>
      <c r="J89" s="25"/>
      <c r="K89" s="25"/>
      <c r="L89" s="25"/>
      <c r="M89" s="25"/>
      <c r="N89" s="25"/>
    </row>
    <row r="90" spans="2:14" ht="18" customHeight="1" x14ac:dyDescent="0.35">
      <c r="B90" s="26" t="str">
        <f>IF('Use Cases'!B89&lt;&gt;"",'Use Cases'!B89,"")</f>
        <v/>
      </c>
      <c r="C90" s="21" t="str">
        <f>IFERROR(VLOOKUP(B90,'Use Cases'!$B$7:$C$506,2,FALSE()),"")</f>
        <v/>
      </c>
      <c r="D90" s="22" t="str">
        <f t="shared" si="3"/>
        <v/>
      </c>
      <c r="E90" s="25"/>
      <c r="F90" s="25"/>
      <c r="G90" s="25"/>
      <c r="H90" s="25"/>
      <c r="I90" s="25"/>
      <c r="J90" s="25"/>
      <c r="K90" s="25"/>
      <c r="L90" s="25"/>
      <c r="M90" s="25"/>
      <c r="N90" s="25"/>
    </row>
    <row r="91" spans="2:14" ht="18" customHeight="1" x14ac:dyDescent="0.35">
      <c r="B91" s="26" t="str">
        <f>IF('Use Cases'!B90&lt;&gt;"",'Use Cases'!B90,"")</f>
        <v/>
      </c>
      <c r="C91" s="21" t="str">
        <f>IFERROR(VLOOKUP(B91,'Use Cases'!$B$7:$C$506,2,FALSE()),"")</f>
        <v/>
      </c>
      <c r="D91" s="22" t="str">
        <f t="shared" si="3"/>
        <v/>
      </c>
      <c r="E91" s="25"/>
      <c r="F91" s="25"/>
      <c r="G91" s="25"/>
      <c r="H91" s="25"/>
      <c r="I91" s="25"/>
      <c r="J91" s="25"/>
      <c r="K91" s="25"/>
      <c r="L91" s="25"/>
      <c r="M91" s="25"/>
      <c r="N91" s="25"/>
    </row>
    <row r="92" spans="2:14" ht="18" customHeight="1" x14ac:dyDescent="0.35">
      <c r="B92" s="26" t="str">
        <f>IF('Use Cases'!B91&lt;&gt;"",'Use Cases'!B91,"")</f>
        <v/>
      </c>
      <c r="C92" s="21" t="str">
        <f>IFERROR(VLOOKUP(B92,'Use Cases'!$B$7:$C$506,2,FALSE()),"")</f>
        <v/>
      </c>
      <c r="D92" s="22" t="str">
        <f t="shared" si="3"/>
        <v/>
      </c>
      <c r="E92" s="25"/>
      <c r="F92" s="25"/>
      <c r="G92" s="25"/>
      <c r="H92" s="25"/>
      <c r="I92" s="25"/>
      <c r="J92" s="25"/>
      <c r="K92" s="25"/>
      <c r="L92" s="25"/>
      <c r="M92" s="25"/>
      <c r="N92" s="25"/>
    </row>
    <row r="93" spans="2:14" ht="18" customHeight="1" x14ac:dyDescent="0.35">
      <c r="B93" s="26" t="str">
        <f>IF('Use Cases'!B92&lt;&gt;"",'Use Cases'!B92,"")</f>
        <v/>
      </c>
      <c r="C93" s="21" t="str">
        <f>IFERROR(VLOOKUP(B93,'Use Cases'!$B$7:$C$506,2,FALSE()),"")</f>
        <v/>
      </c>
      <c r="D93" s="22" t="str">
        <f t="shared" si="3"/>
        <v/>
      </c>
      <c r="E93" s="25"/>
      <c r="F93" s="25"/>
      <c r="G93" s="25"/>
      <c r="H93" s="25"/>
      <c r="I93" s="25"/>
      <c r="J93" s="25"/>
      <c r="K93" s="25"/>
      <c r="L93" s="25"/>
      <c r="M93" s="25"/>
      <c r="N93" s="25"/>
    </row>
    <row r="94" spans="2:14" ht="18" customHeight="1" x14ac:dyDescent="0.35">
      <c r="B94" s="26" t="str">
        <f>IF('Use Cases'!B93&lt;&gt;"",'Use Cases'!B93,"")</f>
        <v/>
      </c>
      <c r="C94" s="21" t="str">
        <f>IFERROR(VLOOKUP(B94,'Use Cases'!$B$7:$C$506,2,FALSE()),"")</f>
        <v/>
      </c>
      <c r="D94" s="22" t="str">
        <f t="shared" si="3"/>
        <v/>
      </c>
      <c r="E94" s="25"/>
      <c r="F94" s="25"/>
      <c r="G94" s="25"/>
      <c r="H94" s="25"/>
      <c r="I94" s="25"/>
      <c r="J94" s="25"/>
      <c r="K94" s="25"/>
      <c r="L94" s="25"/>
      <c r="M94" s="25"/>
      <c r="N94" s="25"/>
    </row>
    <row r="95" spans="2:14" ht="18" customHeight="1" x14ac:dyDescent="0.35">
      <c r="B95" s="26" t="str">
        <f>IF('Use Cases'!B94&lt;&gt;"",'Use Cases'!B94,"")</f>
        <v/>
      </c>
      <c r="C95" s="21" t="str">
        <f>IFERROR(VLOOKUP(B95,'Use Cases'!$B$7:$C$506,2,FALSE()),"")</f>
        <v/>
      </c>
      <c r="D95" s="22" t="str">
        <f t="shared" si="3"/>
        <v/>
      </c>
      <c r="E95" s="25"/>
      <c r="F95" s="25"/>
      <c r="G95" s="25"/>
      <c r="H95" s="25"/>
      <c r="I95" s="25"/>
      <c r="J95" s="25"/>
      <c r="K95" s="25"/>
      <c r="L95" s="25"/>
      <c r="M95" s="25"/>
      <c r="N95" s="25"/>
    </row>
    <row r="96" spans="2:14" ht="18" customHeight="1" x14ac:dyDescent="0.35">
      <c r="B96" s="26" t="str">
        <f>IF('Use Cases'!B95&lt;&gt;"",'Use Cases'!B95,"")</f>
        <v/>
      </c>
      <c r="C96" s="21" t="str">
        <f>IFERROR(VLOOKUP(B96,'Use Cases'!$B$7:$C$506,2,FALSE()),"")</f>
        <v/>
      </c>
      <c r="D96" s="22" t="str">
        <f t="shared" si="3"/>
        <v/>
      </c>
      <c r="E96" s="25"/>
      <c r="F96" s="25"/>
      <c r="G96" s="25"/>
      <c r="H96" s="25"/>
      <c r="I96" s="25"/>
      <c r="J96" s="25"/>
      <c r="K96" s="25"/>
      <c r="L96" s="25"/>
      <c r="M96" s="25"/>
      <c r="N96" s="25"/>
    </row>
    <row r="97" spans="2:14" ht="18" customHeight="1" x14ac:dyDescent="0.35">
      <c r="B97" s="26" t="str">
        <f>IF('Use Cases'!B96&lt;&gt;"",'Use Cases'!B96,"")</f>
        <v/>
      </c>
      <c r="C97" s="21" t="str">
        <f>IFERROR(VLOOKUP(B97,'Use Cases'!$B$7:$C$506,2,FALSE()),"")</f>
        <v/>
      </c>
      <c r="D97" s="22" t="str">
        <f t="shared" si="3"/>
        <v/>
      </c>
      <c r="E97" s="25"/>
      <c r="F97" s="25"/>
      <c r="G97" s="25"/>
      <c r="H97" s="25"/>
      <c r="I97" s="25"/>
      <c r="J97" s="25"/>
      <c r="K97" s="25"/>
      <c r="L97" s="25"/>
      <c r="M97" s="25"/>
      <c r="N97" s="25"/>
    </row>
    <row r="98" spans="2:14" ht="18" customHeight="1" x14ac:dyDescent="0.35">
      <c r="B98" s="26" t="str">
        <f>IF('Use Cases'!B97&lt;&gt;"",'Use Cases'!B97,"")</f>
        <v/>
      </c>
      <c r="C98" s="21" t="str">
        <f>IFERROR(VLOOKUP(B98,'Use Cases'!$B$7:$C$506,2,FALSE()),"")</f>
        <v/>
      </c>
      <c r="D98" s="22" t="str">
        <f t="shared" si="3"/>
        <v/>
      </c>
      <c r="E98" s="25"/>
      <c r="F98" s="25"/>
      <c r="G98" s="25"/>
      <c r="H98" s="25"/>
      <c r="I98" s="25"/>
      <c r="J98" s="25"/>
      <c r="K98" s="25"/>
      <c r="L98" s="25"/>
      <c r="M98" s="25"/>
      <c r="N98" s="25"/>
    </row>
    <row r="99" spans="2:14" ht="18" customHeight="1" x14ac:dyDescent="0.35">
      <c r="B99" s="26" t="str">
        <f>IF('Use Cases'!B98&lt;&gt;"",'Use Cases'!B98,"")</f>
        <v/>
      </c>
      <c r="C99" s="21" t="str">
        <f>IFERROR(VLOOKUP(B99,'Use Cases'!$B$7:$C$506,2,FALSE()),"")</f>
        <v/>
      </c>
      <c r="D99" s="22" t="str">
        <f t="shared" si="3"/>
        <v/>
      </c>
      <c r="E99" s="25"/>
      <c r="F99" s="25"/>
      <c r="G99" s="25"/>
      <c r="H99" s="25"/>
      <c r="I99" s="25"/>
      <c r="J99" s="25"/>
      <c r="K99" s="25"/>
      <c r="L99" s="25"/>
      <c r="M99" s="25"/>
      <c r="N99" s="25"/>
    </row>
    <row r="100" spans="2:14" ht="18" customHeight="1" x14ac:dyDescent="0.35">
      <c r="B100" s="26" t="str">
        <f>IF('Use Cases'!B99&lt;&gt;"",'Use Cases'!B99,"")</f>
        <v/>
      </c>
      <c r="C100" s="21" t="str">
        <f>IFERROR(VLOOKUP(B100,'Use Cases'!$B$7:$C$506,2,FALSE()),"")</f>
        <v/>
      </c>
      <c r="D100" s="22" t="str">
        <f t="shared" si="3"/>
        <v/>
      </c>
      <c r="E100" s="25"/>
      <c r="F100" s="25"/>
      <c r="G100" s="25"/>
      <c r="H100" s="25"/>
      <c r="I100" s="25"/>
      <c r="J100" s="25"/>
      <c r="K100" s="25"/>
      <c r="L100" s="25"/>
      <c r="M100" s="25"/>
      <c r="N100" s="25"/>
    </row>
    <row r="101" spans="2:14" ht="18" customHeight="1" x14ac:dyDescent="0.35">
      <c r="B101" s="26" t="str">
        <f>IF('Use Cases'!B100&lt;&gt;"",'Use Cases'!B100,"")</f>
        <v/>
      </c>
      <c r="C101" s="21" t="str">
        <f>IFERROR(VLOOKUP(B101,'Use Cases'!$B$7:$C$506,2,FALSE()),"")</f>
        <v/>
      </c>
      <c r="D101" s="22" t="str">
        <f t="shared" ref="D101:D106" si="4">IF(B101&lt;&gt;"",IFERROR(SUMPRODUCT(E101:N101,E$7:N$7)/SUM(E$7:N$7),""),"")</f>
        <v/>
      </c>
      <c r="E101" s="25"/>
      <c r="F101" s="25"/>
      <c r="G101" s="25"/>
      <c r="H101" s="25"/>
      <c r="I101" s="25"/>
      <c r="J101" s="25"/>
      <c r="K101" s="25"/>
      <c r="L101" s="25"/>
      <c r="M101" s="25"/>
      <c r="N101" s="25"/>
    </row>
    <row r="102" spans="2:14" ht="18" customHeight="1" x14ac:dyDescent="0.35">
      <c r="B102" s="26" t="str">
        <f>IF('Use Cases'!B101&lt;&gt;"",'Use Cases'!B101,"")</f>
        <v/>
      </c>
      <c r="C102" s="21" t="str">
        <f>IFERROR(VLOOKUP(B102,'Use Cases'!$B$7:$C$506,2,FALSE()),"")</f>
        <v/>
      </c>
      <c r="D102" s="22" t="str">
        <f t="shared" si="4"/>
        <v/>
      </c>
      <c r="E102" s="25"/>
      <c r="F102" s="25"/>
      <c r="G102" s="25"/>
      <c r="H102" s="25"/>
      <c r="I102" s="25"/>
      <c r="J102" s="25"/>
      <c r="K102" s="25"/>
      <c r="L102" s="25"/>
      <c r="M102" s="25"/>
      <c r="N102" s="25"/>
    </row>
    <row r="103" spans="2:14" ht="18" customHeight="1" x14ac:dyDescent="0.35">
      <c r="B103" s="26" t="str">
        <f>IF('Use Cases'!B102&lt;&gt;"",'Use Cases'!B102,"")</f>
        <v/>
      </c>
      <c r="C103" s="21" t="str">
        <f>IFERROR(VLOOKUP(B103,'Use Cases'!$B$7:$C$506,2,FALSE()),"")</f>
        <v/>
      </c>
      <c r="D103" s="22" t="str">
        <f t="shared" si="4"/>
        <v/>
      </c>
      <c r="E103" s="25"/>
      <c r="F103" s="25"/>
      <c r="G103" s="25"/>
      <c r="H103" s="25"/>
      <c r="I103" s="25"/>
      <c r="J103" s="25"/>
      <c r="K103" s="25"/>
      <c r="L103" s="25"/>
      <c r="M103" s="25"/>
      <c r="N103" s="25"/>
    </row>
    <row r="104" spans="2:14" ht="18" customHeight="1" x14ac:dyDescent="0.35">
      <c r="B104" s="26" t="str">
        <f>IF('Use Cases'!B103&lt;&gt;"",'Use Cases'!B103,"")</f>
        <v/>
      </c>
      <c r="C104" s="21" t="str">
        <f>IFERROR(VLOOKUP(B104,'Use Cases'!$B$7:$C$506,2,FALSE()),"")</f>
        <v/>
      </c>
      <c r="D104" s="22" t="str">
        <f t="shared" si="4"/>
        <v/>
      </c>
      <c r="E104" s="25"/>
      <c r="F104" s="25"/>
      <c r="G104" s="25"/>
      <c r="H104" s="25"/>
      <c r="I104" s="25"/>
      <c r="J104" s="25"/>
      <c r="K104" s="25"/>
      <c r="L104" s="25"/>
      <c r="M104" s="25"/>
      <c r="N104" s="25"/>
    </row>
    <row r="105" spans="2:14" ht="18" customHeight="1" x14ac:dyDescent="0.35">
      <c r="B105" s="26" t="str">
        <f>IF('Use Cases'!B104&lt;&gt;"",'Use Cases'!B104,"")</f>
        <v/>
      </c>
      <c r="C105" s="21" t="str">
        <f>IFERROR(VLOOKUP(B105,'Use Cases'!$B$7:$C$506,2,FALSE()),"")</f>
        <v/>
      </c>
      <c r="D105" s="22" t="str">
        <f t="shared" si="4"/>
        <v/>
      </c>
      <c r="E105" s="25"/>
      <c r="F105" s="25"/>
      <c r="G105" s="25"/>
      <c r="H105" s="25"/>
      <c r="I105" s="25"/>
      <c r="J105" s="25"/>
      <c r="K105" s="25"/>
      <c r="L105" s="25"/>
      <c r="M105" s="25"/>
      <c r="N105" s="25"/>
    </row>
    <row r="106" spans="2:14" ht="18" customHeight="1" x14ac:dyDescent="0.35">
      <c r="B106" s="26" t="str">
        <f>IF('Use Cases'!B105&lt;&gt;"",'Use Cases'!B105,"")</f>
        <v/>
      </c>
      <c r="C106" s="21" t="str">
        <f>IFERROR(VLOOKUP(B106,'Use Cases'!$B$7:$C$506,2,FALSE()),"")</f>
        <v/>
      </c>
      <c r="D106" s="22" t="str">
        <f t="shared" si="4"/>
        <v/>
      </c>
      <c r="E106" s="25"/>
      <c r="F106" s="25"/>
      <c r="G106" s="25"/>
      <c r="H106" s="25"/>
      <c r="I106" s="25"/>
      <c r="J106" s="25"/>
      <c r="K106" s="25"/>
      <c r="L106" s="25"/>
      <c r="M106" s="25"/>
      <c r="N106" s="25"/>
    </row>
  </sheetData>
  <mergeCells count="4">
    <mergeCell ref="B2:J2"/>
    <mergeCell ref="B3:J3"/>
    <mergeCell ref="B4:D4"/>
    <mergeCell ref="E4:N4"/>
  </mergeCells>
  <conditionalFormatting sqref="E8:J37">
    <cfRule type="colorScale" priority="5">
      <colorScale>
        <cfvo type="num" val="1"/>
        <cfvo type="num" val="5"/>
        <color rgb="FFFEE2E2"/>
        <color rgb="FFD1FAE5"/>
      </colorScale>
    </cfRule>
  </conditionalFormatting>
  <conditionalFormatting sqref="E38:J106">
    <cfRule type="colorScale" priority="3">
      <colorScale>
        <cfvo type="num" val="1"/>
        <cfvo type="num" val="5"/>
        <color rgb="FFFEE2E2"/>
        <color rgb="FFD1FAE5"/>
      </colorScale>
    </cfRule>
  </conditionalFormatting>
  <conditionalFormatting sqref="K8:N37">
    <cfRule type="colorScale" priority="2">
      <colorScale>
        <cfvo type="num" val="1"/>
        <cfvo type="num" val="5"/>
        <color rgb="FFFEE2E2"/>
        <color rgb="FFD1FAE5"/>
      </colorScale>
    </cfRule>
  </conditionalFormatting>
  <conditionalFormatting sqref="K38:N106">
    <cfRule type="colorScale" priority="1">
      <colorScale>
        <cfvo type="num" val="1"/>
        <cfvo type="num" val="5"/>
        <color rgb="FFFEE2E2"/>
        <color rgb="FFD1FAE5"/>
      </colorScale>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21B6"/>
  </sheetPr>
  <dimension ref="B2:N106"/>
  <sheetViews>
    <sheetView showGridLines="0" zoomScaleNormal="100" workbookViewId="0">
      <pane xSplit="2" ySplit="7" topLeftCell="C8" activePane="bottomRight" state="frozen"/>
      <selection pane="topRight" activeCell="C1" sqref="C1"/>
      <selection pane="bottomLeft" activeCell="A9" sqref="A9"/>
      <selection pane="bottomRight" activeCell="N7" sqref="N7"/>
    </sheetView>
  </sheetViews>
  <sheetFormatPr defaultColWidth="8.54296875" defaultRowHeight="14.5" x14ac:dyDescent="0.35"/>
  <cols>
    <col min="1" max="1" width="3" style="12" customWidth="1"/>
    <col min="2" max="2" width="10" style="12" customWidth="1"/>
    <col min="3" max="3" width="37.7265625" style="12" customWidth="1"/>
    <col min="4" max="4" width="14" style="12" customWidth="1"/>
    <col min="5" max="11" width="12" style="12" customWidth="1"/>
    <col min="12" max="14" width="12.26953125" style="12" customWidth="1"/>
    <col min="15" max="16384" width="8.54296875" style="12"/>
  </cols>
  <sheetData>
    <row r="2" spans="2:14" ht="27.75" customHeight="1" x14ac:dyDescent="0.35">
      <c r="B2" s="61" t="s">
        <v>253</v>
      </c>
      <c r="C2" s="61"/>
      <c r="D2" s="61"/>
      <c r="E2" s="61"/>
      <c r="F2" s="61"/>
      <c r="G2" s="61"/>
      <c r="H2" s="61"/>
      <c r="I2" s="61"/>
      <c r="J2" s="61"/>
      <c r="K2" s="61"/>
    </row>
    <row r="3" spans="2:14" ht="42" customHeight="1" x14ac:dyDescent="0.35">
      <c r="B3" s="65" t="s">
        <v>247</v>
      </c>
      <c r="C3" s="65"/>
      <c r="D3" s="65"/>
      <c r="E3" s="65"/>
      <c r="F3" s="65"/>
      <c r="G3" s="65"/>
      <c r="H3" s="65"/>
      <c r="I3" s="65"/>
      <c r="J3" s="65"/>
      <c r="K3" s="65"/>
    </row>
    <row r="4" spans="2:14" ht="18" customHeight="1" x14ac:dyDescent="0.35">
      <c r="B4" s="69" t="s">
        <v>248</v>
      </c>
      <c r="C4" s="69"/>
      <c r="D4" s="69"/>
      <c r="E4" s="72" t="s">
        <v>249</v>
      </c>
      <c r="F4" s="73"/>
      <c r="G4" s="73"/>
      <c r="H4" s="73"/>
      <c r="I4" s="73"/>
      <c r="J4" s="73"/>
      <c r="K4" s="73"/>
      <c r="L4" s="73"/>
      <c r="M4" s="73"/>
      <c r="N4" s="73"/>
    </row>
    <row r="5" spans="2:14" ht="18" customHeight="1" x14ac:dyDescent="0.35">
      <c r="E5" s="14" t="str" cm="1">
        <f t="array" ref="E5">IFERROR(INDEX(ReadinessFactors, COLUMN()-4, 1), "")</f>
        <v>RF01</v>
      </c>
      <c r="F5" s="14" t="str" cm="1">
        <f t="array" ref="F5">IFERROR(INDEX(ReadinessFactors, COLUMN()-4, 1), "")</f>
        <v>RF02</v>
      </c>
      <c r="G5" s="14" t="str" cm="1">
        <f t="array" ref="G5">IFERROR(INDEX(ReadinessFactors, COLUMN()-4, 1), "")</f>
        <v>RF03</v>
      </c>
      <c r="H5" s="14" t="str" cm="1">
        <f t="array" ref="H5">IFERROR(INDEX(ReadinessFactors, COLUMN()-4, 1), "")</f>
        <v>RF04</v>
      </c>
      <c r="I5" s="14" t="str" cm="1">
        <f t="array" ref="I5">IFERROR(INDEX(ReadinessFactors, COLUMN()-4, 1), "")</f>
        <v>RF05</v>
      </c>
      <c r="J5" s="14" t="str" cm="1">
        <f t="array" ref="J5">IFERROR(INDEX(ReadinessFactors, COLUMN()-4, 1), "")</f>
        <v>RF06</v>
      </c>
      <c r="K5" s="14" t="str" cm="1">
        <f t="array" ref="K5">IFERROR(INDEX(ReadinessFactors, COLUMN()-4, 1), "")</f>
        <v>RF07</v>
      </c>
      <c r="L5" s="14" t="str" cm="1">
        <f t="array" ref="L5">IFERROR(INDEX(ReadinessFactors, COLUMN()-4, 1), "")</f>
        <v/>
      </c>
      <c r="M5" s="14" t="str" cm="1">
        <f t="array" ref="M5">IFERROR(INDEX(ReadinessFactors, COLUMN()-4, 1), "")</f>
        <v/>
      </c>
      <c r="N5" s="14" t="str" cm="1">
        <f t="array" ref="N5">IFERROR(INDEX(ReadinessFactors, COLUMN()-4, 1), "")</f>
        <v/>
      </c>
    </row>
    <row r="6" spans="2:14" ht="37.5" customHeight="1" x14ac:dyDescent="0.35">
      <c r="B6" s="15" t="s">
        <v>157</v>
      </c>
      <c r="C6" s="14" t="s">
        <v>250</v>
      </c>
      <c r="D6" s="16" t="s">
        <v>251</v>
      </c>
      <c r="E6" s="17" t="str">
        <f t="shared" ref="E6:N6" si="0">IFERROR(VLOOKUP(E5,ReadinessFactors,2,FALSE()),E5)</f>
        <v>Data availability &amp; quality</v>
      </c>
      <c r="F6" s="17" t="str">
        <f t="shared" si="0"/>
        <v>Technical infrastructure</v>
      </c>
      <c r="G6" s="17" t="str">
        <f t="shared" si="0"/>
        <v>Governance &amp; compliance readiness</v>
      </c>
      <c r="H6" s="17" t="str">
        <f t="shared" si="0"/>
        <v>Organisational &amp; process readiness</v>
      </c>
      <c r="I6" s="17" t="str">
        <f t="shared" si="0"/>
        <v>Skills &amp; capability</v>
      </c>
      <c r="J6" s="17" t="str">
        <f t="shared" si="0"/>
        <v>Implementation effort</v>
      </c>
      <c r="K6" s="17" t="str">
        <f t="shared" si="0"/>
        <v>Executive &amp; stakeholder support</v>
      </c>
      <c r="L6" s="17" t="str">
        <f t="shared" si="0"/>
        <v/>
      </c>
      <c r="M6" s="17" t="str">
        <f t="shared" si="0"/>
        <v/>
      </c>
      <c r="N6" s="17" t="str">
        <f t="shared" si="0"/>
        <v/>
      </c>
    </row>
    <row r="7" spans="2:14" ht="18" customHeight="1" x14ac:dyDescent="0.35">
      <c r="B7" s="19"/>
      <c r="C7" s="19"/>
      <c r="D7" s="18" t="s">
        <v>252</v>
      </c>
      <c r="E7" s="20">
        <f t="shared" ref="E7:N7" si="1">IF(E5="","",IFERROR(VLOOKUP(E5,ReadinessFactors,3,FALSE()),0))</f>
        <v>20</v>
      </c>
      <c r="F7" s="20">
        <f t="shared" si="1"/>
        <v>15</v>
      </c>
      <c r="G7" s="20">
        <f t="shared" si="1"/>
        <v>20</v>
      </c>
      <c r="H7" s="20">
        <f t="shared" si="1"/>
        <v>15</v>
      </c>
      <c r="I7" s="20">
        <f t="shared" si="1"/>
        <v>10</v>
      </c>
      <c r="J7" s="20">
        <f t="shared" si="1"/>
        <v>10</v>
      </c>
      <c r="K7" s="20">
        <f t="shared" si="1"/>
        <v>10</v>
      </c>
      <c r="L7" s="20" t="str">
        <f t="shared" si="1"/>
        <v/>
      </c>
      <c r="M7" s="20" t="str">
        <f t="shared" si="1"/>
        <v/>
      </c>
      <c r="N7" s="20" t="str">
        <f t="shared" si="1"/>
        <v/>
      </c>
    </row>
    <row r="8" spans="2:14" ht="17.25" customHeight="1" x14ac:dyDescent="0.35">
      <c r="B8" s="26" t="str">
        <f>IF('Use Cases'!B7&lt;&gt;"",'Use Cases'!B7,"")</f>
        <v>UC01</v>
      </c>
      <c r="C8" s="21" t="str">
        <f>IFERROR(VLOOKUP(B8,'Use Cases'!$B$7:$C$506,2,FALSE()),"")</f>
        <v>Automated FNOL triage</v>
      </c>
      <c r="D8" s="22">
        <f>IF(B8&lt;&gt;"",IFERROR(SUMPRODUCT(E8:N8,E$7:N$7)/SUM(E$7:N$7),""),"")</f>
        <v>2.6</v>
      </c>
      <c r="E8" s="23">
        <v>3</v>
      </c>
      <c r="F8" s="23">
        <v>2</v>
      </c>
      <c r="G8" s="23">
        <v>3</v>
      </c>
      <c r="H8" s="23">
        <v>2</v>
      </c>
      <c r="I8" s="23">
        <v>2</v>
      </c>
      <c r="J8" s="23">
        <v>3</v>
      </c>
      <c r="K8" s="23">
        <v>3</v>
      </c>
    </row>
    <row r="9" spans="2:14" ht="17.25" customHeight="1" x14ac:dyDescent="0.35">
      <c r="B9" s="26" t="str">
        <f>IF('Use Cases'!B8&lt;&gt;"",'Use Cases'!B8,"")</f>
        <v>UC02</v>
      </c>
      <c r="C9" s="21" t="str">
        <f>IFERROR(VLOOKUP(B9,'Use Cases'!$B$7:$C$506,2,FALSE()),"")</f>
        <v>AI-assisted claims liability assessment</v>
      </c>
      <c r="D9" s="22">
        <f t="shared" ref="D9:D72" si="2">IF(B9&lt;&gt;"",IFERROR(SUMPRODUCT(E9:N9,E$7:N$7)/SUM(E$7:N$7),""),"")</f>
        <v>1.9</v>
      </c>
      <c r="E9" s="25">
        <v>2</v>
      </c>
      <c r="F9" s="25">
        <v>2</v>
      </c>
      <c r="G9" s="25">
        <v>1</v>
      </c>
      <c r="H9" s="25">
        <v>2</v>
      </c>
      <c r="I9" s="25">
        <v>2</v>
      </c>
      <c r="J9" s="25">
        <v>2</v>
      </c>
      <c r="K9" s="25">
        <v>3</v>
      </c>
    </row>
    <row r="10" spans="2:14" ht="17.25" customHeight="1" x14ac:dyDescent="0.35">
      <c r="B10" s="26" t="str">
        <f>IF('Use Cases'!B9&lt;&gt;"",'Use Cases'!B9,"")</f>
        <v>UC03</v>
      </c>
      <c r="C10" s="21" t="str">
        <f>IFERROR(VLOOKUP(B10,'Use Cases'!$B$7:$C$506,2,FALSE()),"")</f>
        <v>Claims fraud detection — motor</v>
      </c>
      <c r="D10" s="22">
        <f t="shared" si="2"/>
        <v>2.9</v>
      </c>
      <c r="E10" s="23">
        <v>3</v>
      </c>
      <c r="F10" s="23">
        <v>3</v>
      </c>
      <c r="G10" s="23">
        <v>2</v>
      </c>
      <c r="H10" s="23">
        <v>3</v>
      </c>
      <c r="I10" s="23">
        <v>3</v>
      </c>
      <c r="J10" s="23">
        <v>3</v>
      </c>
      <c r="K10" s="23">
        <v>4</v>
      </c>
    </row>
    <row r="11" spans="2:14" ht="17.25" customHeight="1" x14ac:dyDescent="0.35">
      <c r="B11" s="26" t="str">
        <f>IF('Use Cases'!B10&lt;&gt;"",'Use Cases'!B10,"")</f>
        <v>UC04</v>
      </c>
      <c r="C11" s="21" t="str">
        <f>IFERROR(VLOOKUP(B11,'Use Cases'!$B$7:$C$506,2,FALSE()),"")</f>
        <v>Claims fraud detection — home &amp; contents</v>
      </c>
      <c r="D11" s="22">
        <f t="shared" si="2"/>
        <v>2.5</v>
      </c>
      <c r="E11" s="25">
        <v>2</v>
      </c>
      <c r="F11" s="25">
        <v>3</v>
      </c>
      <c r="G11" s="25">
        <v>2</v>
      </c>
      <c r="H11" s="25">
        <v>3</v>
      </c>
      <c r="I11" s="25">
        <v>2</v>
      </c>
      <c r="J11" s="25">
        <v>3</v>
      </c>
      <c r="K11" s="25">
        <v>3</v>
      </c>
    </row>
    <row r="12" spans="2:14" ht="17.25" customHeight="1" x14ac:dyDescent="0.35">
      <c r="B12" s="26" t="str">
        <f>IF('Use Cases'!B11&lt;&gt;"",'Use Cases'!B11,"")</f>
        <v>UC05</v>
      </c>
      <c r="C12" s="21" t="str">
        <f>IFERROR(VLOOKUP(B12,'Use Cases'!$B$7:$C$506,2,FALSE()),"")</f>
        <v>Claims document extraction &amp; summarisation</v>
      </c>
      <c r="D12" s="22">
        <f t="shared" si="2"/>
        <v>3.1</v>
      </c>
      <c r="E12" s="23">
        <v>3</v>
      </c>
      <c r="F12" s="23">
        <v>3</v>
      </c>
      <c r="G12" s="23">
        <v>3</v>
      </c>
      <c r="H12" s="23">
        <v>3</v>
      </c>
      <c r="I12" s="23">
        <v>3</v>
      </c>
      <c r="J12" s="23">
        <v>4</v>
      </c>
      <c r="K12" s="23">
        <v>3</v>
      </c>
    </row>
    <row r="13" spans="2:14" ht="17.25" customHeight="1" x14ac:dyDescent="0.35">
      <c r="B13" s="26" t="str">
        <f>IF('Use Cases'!B12&lt;&gt;"",'Use Cases'!B12,"")</f>
        <v>UC06</v>
      </c>
      <c r="C13" s="21" t="str">
        <f>IFERROR(VLOOKUP(B13,'Use Cases'!$B$7:$C$506,2,FALSE()),"")</f>
        <v>Predictive UW risk scoring — motor</v>
      </c>
      <c r="D13" s="22">
        <f t="shared" si="2"/>
        <v>1.9</v>
      </c>
      <c r="E13" s="25">
        <v>2</v>
      </c>
      <c r="F13" s="25">
        <v>2</v>
      </c>
      <c r="G13" s="25">
        <v>1</v>
      </c>
      <c r="H13" s="25">
        <v>2</v>
      </c>
      <c r="I13" s="25">
        <v>2</v>
      </c>
      <c r="J13" s="25">
        <v>2</v>
      </c>
      <c r="K13" s="25">
        <v>3</v>
      </c>
    </row>
    <row r="14" spans="2:14" ht="17.25" customHeight="1" x14ac:dyDescent="0.35">
      <c r="B14" s="26" t="str">
        <f>IF('Use Cases'!B13&lt;&gt;"",'Use Cases'!B13,"")</f>
        <v>UC07</v>
      </c>
      <c r="C14" s="21" t="str">
        <f>IFERROR(VLOOKUP(B14,'Use Cases'!$B$7:$C$506,2,FALSE()),"")</f>
        <v>Predictive UW risk scoring — home</v>
      </c>
      <c r="D14" s="22">
        <f t="shared" si="2"/>
        <v>1.9</v>
      </c>
      <c r="E14" s="23">
        <v>2</v>
      </c>
      <c r="F14" s="23">
        <v>2</v>
      </c>
      <c r="G14" s="23">
        <v>1</v>
      </c>
      <c r="H14" s="23">
        <v>2</v>
      </c>
      <c r="I14" s="23">
        <v>2</v>
      </c>
      <c r="J14" s="23">
        <v>2</v>
      </c>
      <c r="K14" s="23">
        <v>3</v>
      </c>
    </row>
    <row r="15" spans="2:14" ht="17.25" customHeight="1" x14ac:dyDescent="0.35">
      <c r="B15" s="26" t="str">
        <f>IF('Use Cases'!B14&lt;&gt;"",'Use Cases'!B14,"")</f>
        <v>UC08</v>
      </c>
      <c r="C15" s="21" t="str">
        <f>IFERROR(VLOOKUP(B15,'Use Cases'!$B$7:$C$506,2,FALSE()),"")</f>
        <v>Underwriting referral assist</v>
      </c>
      <c r="D15" s="22">
        <f t="shared" si="2"/>
        <v>2.9</v>
      </c>
      <c r="E15" s="25">
        <v>3</v>
      </c>
      <c r="F15" s="25">
        <v>3</v>
      </c>
      <c r="G15" s="25">
        <v>3</v>
      </c>
      <c r="H15" s="25">
        <v>3</v>
      </c>
      <c r="I15" s="25">
        <v>2</v>
      </c>
      <c r="J15" s="25">
        <v>3</v>
      </c>
      <c r="K15" s="25">
        <v>3</v>
      </c>
    </row>
    <row r="16" spans="2:14" ht="17.25" customHeight="1" x14ac:dyDescent="0.35">
      <c r="B16" s="26" t="str">
        <f>IF('Use Cases'!B15&lt;&gt;"",'Use Cases'!B15,"")</f>
        <v>UC09</v>
      </c>
      <c r="C16" s="21" t="str">
        <f>IFERROR(VLOOKUP(B16,'Use Cases'!$B$7:$C$506,2,FALSE()),"")</f>
        <v>Automated policy endorsement processing</v>
      </c>
      <c r="D16" s="22">
        <f t="shared" si="2"/>
        <v>2.9</v>
      </c>
      <c r="E16" s="23">
        <v>4</v>
      </c>
      <c r="F16" s="23">
        <v>2</v>
      </c>
      <c r="G16" s="23">
        <v>3</v>
      </c>
      <c r="H16" s="23">
        <v>2</v>
      </c>
      <c r="I16" s="23">
        <v>3</v>
      </c>
      <c r="J16" s="23">
        <v>3</v>
      </c>
      <c r="K16" s="23">
        <v>3</v>
      </c>
    </row>
    <row r="17" spans="2:11" ht="17.25" customHeight="1" x14ac:dyDescent="0.35">
      <c r="B17" s="26" t="str">
        <f>IF('Use Cases'!B16&lt;&gt;"",'Use Cases'!B16,"")</f>
        <v>UC10</v>
      </c>
      <c r="C17" s="21" t="str">
        <f>IFERROR(VLOOKUP(B17,'Use Cases'!$B$7:$C$506,2,FALSE()),"")</f>
        <v>AI-powered customer self-service</v>
      </c>
      <c r="D17" s="22">
        <f t="shared" si="2"/>
        <v>2.2999999999999998</v>
      </c>
      <c r="E17" s="25">
        <v>3</v>
      </c>
      <c r="F17" s="25">
        <v>2</v>
      </c>
      <c r="G17" s="25">
        <v>2</v>
      </c>
      <c r="H17" s="25">
        <v>2</v>
      </c>
      <c r="I17" s="25">
        <v>2</v>
      </c>
      <c r="J17" s="25">
        <v>2</v>
      </c>
      <c r="K17" s="25">
        <v>3</v>
      </c>
    </row>
    <row r="18" spans="2:11" ht="17.25" customHeight="1" x14ac:dyDescent="0.35">
      <c r="B18" s="26" t="str">
        <f>IF('Use Cases'!B17&lt;&gt;"",'Use Cases'!B17,"")</f>
        <v>UC11</v>
      </c>
      <c r="C18" s="21" t="str">
        <f>IFERROR(VLOOKUP(B18,'Use Cases'!$B$7:$C$506,2,FALSE()),"")</f>
        <v>Personalised renewal pricing &amp; retention</v>
      </c>
      <c r="D18" s="22">
        <f t="shared" si="2"/>
        <v>1.9</v>
      </c>
      <c r="E18" s="23">
        <v>2</v>
      </c>
      <c r="F18" s="23">
        <v>2</v>
      </c>
      <c r="G18" s="23">
        <v>1</v>
      </c>
      <c r="H18" s="23">
        <v>2</v>
      </c>
      <c r="I18" s="23">
        <v>2</v>
      </c>
      <c r="J18" s="23">
        <v>2</v>
      </c>
      <c r="K18" s="23">
        <v>3</v>
      </c>
    </row>
    <row r="19" spans="2:11" ht="17.25" customHeight="1" x14ac:dyDescent="0.35">
      <c r="B19" s="26" t="str">
        <f>IF('Use Cases'!B18&lt;&gt;"",'Use Cases'!B18,"")</f>
        <v>UC12</v>
      </c>
      <c r="C19" s="21" t="str">
        <f>IFERROR(VLOOKUP(B19,'Use Cases'!$B$7:$C$506,2,FALSE()),"")</f>
        <v>Next best action for inbound contacts</v>
      </c>
      <c r="D19" s="22">
        <f t="shared" si="2"/>
        <v>2.1</v>
      </c>
      <c r="E19" s="25">
        <v>2</v>
      </c>
      <c r="F19" s="25">
        <v>2</v>
      </c>
      <c r="G19" s="25">
        <v>2</v>
      </c>
      <c r="H19" s="25">
        <v>2</v>
      </c>
      <c r="I19" s="25">
        <v>2</v>
      </c>
      <c r="J19" s="25">
        <v>2</v>
      </c>
      <c r="K19" s="25">
        <v>3</v>
      </c>
    </row>
    <row r="20" spans="2:11" ht="17.25" customHeight="1" x14ac:dyDescent="0.35">
      <c r="B20" s="26" t="str">
        <f>IF('Use Cases'!B19&lt;&gt;"",'Use Cases'!B19,"")</f>
        <v>UC13</v>
      </c>
      <c r="C20" s="21" t="str">
        <f>IFERROR(VLOOKUP(B20,'Use Cases'!$B$7:$C$506,2,FALSE()),"")</f>
        <v>Complaint root cause analysis</v>
      </c>
      <c r="D20" s="22">
        <f t="shared" si="2"/>
        <v>3</v>
      </c>
      <c r="E20" s="23">
        <v>3</v>
      </c>
      <c r="F20" s="23">
        <v>3</v>
      </c>
      <c r="G20" s="23">
        <v>3</v>
      </c>
      <c r="H20" s="23">
        <v>3</v>
      </c>
      <c r="I20" s="23">
        <v>2</v>
      </c>
      <c r="J20" s="23">
        <v>3</v>
      </c>
      <c r="K20" s="23">
        <v>4</v>
      </c>
    </row>
    <row r="21" spans="2:11" ht="17.25" customHeight="1" x14ac:dyDescent="0.35">
      <c r="B21" s="26" t="str">
        <f>IF('Use Cases'!B20&lt;&gt;"",'Use Cases'!B20,"")</f>
        <v>UC14</v>
      </c>
      <c r="C21" s="21" t="str">
        <f>IFERROR(VLOOKUP(B21,'Use Cases'!$B$7:$C$506,2,FALSE()),"")</f>
        <v>Regulatory change impact assessment</v>
      </c>
      <c r="D21" s="22">
        <f t="shared" si="2"/>
        <v>3.3</v>
      </c>
      <c r="E21" s="25">
        <v>3</v>
      </c>
      <c r="F21" s="25">
        <v>3</v>
      </c>
      <c r="G21" s="25">
        <v>4</v>
      </c>
      <c r="H21" s="25">
        <v>3</v>
      </c>
      <c r="I21" s="25">
        <v>3</v>
      </c>
      <c r="J21" s="25">
        <v>3</v>
      </c>
      <c r="K21" s="25">
        <v>4</v>
      </c>
    </row>
    <row r="22" spans="2:11" ht="17.25" customHeight="1" x14ac:dyDescent="0.35">
      <c r="B22" s="26" t="str">
        <f>IF('Use Cases'!B21&lt;&gt;"",'Use Cases'!B21,"")</f>
        <v>UC15</v>
      </c>
      <c r="C22" s="21" t="str">
        <f>IFERROR(VLOOKUP(B22,'Use Cases'!$B$7:$C$506,2,FALSE()),"")</f>
        <v>Automated conduct risk monitoring</v>
      </c>
      <c r="D22" s="22">
        <f t="shared" si="2"/>
        <v>2.1</v>
      </c>
      <c r="E22" s="23">
        <v>2</v>
      </c>
      <c r="F22" s="23">
        <v>2</v>
      </c>
      <c r="G22" s="23">
        <v>2</v>
      </c>
      <c r="H22" s="23">
        <v>2</v>
      </c>
      <c r="I22" s="23">
        <v>2</v>
      </c>
      <c r="J22" s="23">
        <v>2</v>
      </c>
      <c r="K22" s="23">
        <v>3</v>
      </c>
    </row>
    <row r="23" spans="2:11" ht="17.25" customHeight="1" x14ac:dyDescent="0.35">
      <c r="B23" s="26" t="str">
        <f>IF('Use Cases'!B22&lt;&gt;"",'Use Cases'!B22,"")</f>
        <v>UC16</v>
      </c>
      <c r="C23" s="21" t="str">
        <f>IFERROR(VLOOKUP(B23,'Use Cases'!$B$7:$C$506,2,FALSE()),"")</f>
        <v>AI-assisted actuarial reserving</v>
      </c>
      <c r="D23" s="22">
        <f t="shared" si="2"/>
        <v>1.9</v>
      </c>
      <c r="E23" s="25">
        <v>2</v>
      </c>
      <c r="F23" s="25">
        <v>2</v>
      </c>
      <c r="G23" s="25">
        <v>1</v>
      </c>
      <c r="H23" s="25">
        <v>2</v>
      </c>
      <c r="I23" s="25">
        <v>2</v>
      </c>
      <c r="J23" s="25">
        <v>2</v>
      </c>
      <c r="K23" s="25">
        <v>3</v>
      </c>
    </row>
    <row r="24" spans="2:11" ht="17.25" customHeight="1" x14ac:dyDescent="0.35">
      <c r="B24" s="26" t="str">
        <f>IF('Use Cases'!B23&lt;&gt;"",'Use Cases'!B23,"")</f>
        <v>UC17</v>
      </c>
      <c r="C24" s="21" t="str">
        <f>IFERROR(VLOOKUP(B24,'Use Cases'!$B$7:$C$506,2,FALSE()),"")</f>
        <v>Finance process automation — reconciliations</v>
      </c>
      <c r="D24" s="22">
        <f t="shared" si="2"/>
        <v>2.9</v>
      </c>
      <c r="E24" s="23">
        <v>4</v>
      </c>
      <c r="F24" s="23">
        <v>2</v>
      </c>
      <c r="G24" s="23">
        <v>3</v>
      </c>
      <c r="H24" s="23">
        <v>2</v>
      </c>
      <c r="I24" s="23">
        <v>3</v>
      </c>
      <c r="J24" s="23">
        <v>3</v>
      </c>
      <c r="K24" s="23">
        <v>3</v>
      </c>
    </row>
    <row r="25" spans="2:11" ht="17.25" customHeight="1" x14ac:dyDescent="0.35">
      <c r="B25" s="26" t="str">
        <f>IF('Use Cases'!B24&lt;&gt;"",'Use Cases'!B24,"")</f>
        <v>UC18</v>
      </c>
      <c r="C25" s="21" t="str">
        <f>IFERROR(VLOOKUP(B25,'Use Cases'!$B$7:$C$506,2,FALSE()),"")</f>
        <v>Broker relationship scoring &amp; segmentation</v>
      </c>
      <c r="D25" s="22">
        <f t="shared" si="2"/>
        <v>3</v>
      </c>
      <c r="E25" s="25">
        <v>3</v>
      </c>
      <c r="F25" s="25">
        <v>3</v>
      </c>
      <c r="G25" s="25">
        <v>3</v>
      </c>
      <c r="H25" s="25">
        <v>3</v>
      </c>
      <c r="I25" s="25">
        <v>3</v>
      </c>
      <c r="J25" s="25">
        <v>3</v>
      </c>
      <c r="K25" s="25">
        <v>3</v>
      </c>
    </row>
    <row r="26" spans="2:11" ht="17.25" customHeight="1" x14ac:dyDescent="0.35">
      <c r="B26" s="26" t="str">
        <f>IF('Use Cases'!B25&lt;&gt;"",'Use Cases'!B25,"")</f>
        <v>UC19</v>
      </c>
      <c r="C26" s="21" t="str">
        <f>IFERROR(VLOOKUP(B26,'Use Cases'!$B$7:$C$506,2,FALSE()),"")</f>
        <v>Intelligent policy &amp; renewal doc generation</v>
      </c>
      <c r="D26" s="22">
        <f t="shared" si="2"/>
        <v>3</v>
      </c>
      <c r="E26" s="23">
        <v>3</v>
      </c>
      <c r="F26" s="23">
        <v>3</v>
      </c>
      <c r="G26" s="23">
        <v>3</v>
      </c>
      <c r="H26" s="23">
        <v>3</v>
      </c>
      <c r="I26" s="23">
        <v>3</v>
      </c>
      <c r="J26" s="23">
        <v>3</v>
      </c>
      <c r="K26" s="23">
        <v>3</v>
      </c>
    </row>
    <row r="27" spans="2:11" ht="17.25" customHeight="1" x14ac:dyDescent="0.35">
      <c r="B27" s="26" t="str">
        <f>IF('Use Cases'!B26&lt;&gt;"",'Use Cases'!B26,"")</f>
        <v>UC20</v>
      </c>
      <c r="C27" s="21" t="str">
        <f>IFERROR(VLOOKUP(B27,'Use Cases'!$B$7:$C$506,2,FALSE()),"")</f>
        <v>Claims repair network optimisation</v>
      </c>
      <c r="D27" s="22">
        <f t="shared" si="2"/>
        <v>2.85</v>
      </c>
      <c r="E27" s="25">
        <v>3</v>
      </c>
      <c r="F27" s="25">
        <v>3</v>
      </c>
      <c r="G27" s="25">
        <v>3</v>
      </c>
      <c r="H27" s="25">
        <v>2</v>
      </c>
      <c r="I27" s="25">
        <v>3</v>
      </c>
      <c r="J27" s="25">
        <v>3</v>
      </c>
      <c r="K27" s="25">
        <v>3</v>
      </c>
    </row>
    <row r="28" spans="2:11" ht="17.25" customHeight="1" x14ac:dyDescent="0.35">
      <c r="B28" s="26" t="str">
        <f>IF('Use Cases'!B27&lt;&gt;"",'Use Cases'!B27,"")</f>
        <v>UC21</v>
      </c>
      <c r="C28" s="21" t="str">
        <f>IFERROR(VLOOKUP(B28,'Use Cases'!$B$7:$C$506,2,FALSE()),"")</f>
        <v>Telematics / UBI pricing</v>
      </c>
      <c r="D28" s="22">
        <f t="shared" si="2"/>
        <v>1.45</v>
      </c>
      <c r="E28" s="23">
        <v>1</v>
      </c>
      <c r="F28" s="23">
        <v>1</v>
      </c>
      <c r="G28" s="23">
        <v>1</v>
      </c>
      <c r="H28" s="23">
        <v>2</v>
      </c>
      <c r="I28" s="23">
        <v>2</v>
      </c>
      <c r="J28" s="23">
        <v>1</v>
      </c>
      <c r="K28" s="23">
        <v>3</v>
      </c>
    </row>
    <row r="29" spans="2:11" ht="17.25" customHeight="1" x14ac:dyDescent="0.35">
      <c r="B29" s="26" t="str">
        <f>IF('Use Cases'!B28&lt;&gt;"",'Use Cases'!B28,"")</f>
        <v>UC22</v>
      </c>
      <c r="C29" s="21" t="str">
        <f>IFERROR(VLOOKUP(B29,'Use Cases'!$B$7:$C$506,2,FALSE()),"")</f>
        <v>HR &amp; workforce planning intelligence</v>
      </c>
      <c r="D29" s="22">
        <f t="shared" si="2"/>
        <v>3</v>
      </c>
      <c r="E29" s="25">
        <v>3</v>
      </c>
      <c r="F29" s="25">
        <v>3</v>
      </c>
      <c r="G29" s="25">
        <v>3</v>
      </c>
      <c r="H29" s="25">
        <v>3</v>
      </c>
      <c r="I29" s="25">
        <v>3</v>
      </c>
      <c r="J29" s="25">
        <v>3</v>
      </c>
      <c r="K29" s="25">
        <v>3</v>
      </c>
    </row>
    <row r="30" spans="2:11" ht="17.25" customHeight="1" x14ac:dyDescent="0.35">
      <c r="B30" s="26" t="str">
        <f>IF('Use Cases'!B29&lt;&gt;"",'Use Cases'!B29,"")</f>
        <v>UC23</v>
      </c>
      <c r="C30" s="21" t="str">
        <f>IFERROR(VLOOKUP(B30,'Use Cases'!$B$7:$C$506,2,FALSE()),"")</f>
        <v>AI co-pilot for contact centre agents</v>
      </c>
      <c r="D30" s="22">
        <f t="shared" si="2"/>
        <v>2.75</v>
      </c>
      <c r="E30" s="23">
        <v>3</v>
      </c>
      <c r="F30" s="23">
        <v>2</v>
      </c>
      <c r="G30" s="23">
        <v>3</v>
      </c>
      <c r="H30" s="23">
        <v>3</v>
      </c>
      <c r="I30" s="23">
        <v>2</v>
      </c>
      <c r="J30" s="23">
        <v>3</v>
      </c>
      <c r="K30" s="23">
        <v>3</v>
      </c>
    </row>
    <row r="31" spans="2:11" ht="17.25" customHeight="1" x14ac:dyDescent="0.35">
      <c r="B31" s="26" t="str">
        <f>IF('Use Cases'!B30&lt;&gt;"",'Use Cases'!B30,"")</f>
        <v>UC24</v>
      </c>
      <c r="C31" s="21" t="str">
        <f>IFERROR(VLOOKUP(B31,'Use Cases'!$B$7:$C$506,2,FALSE()),"")</f>
        <v>CAT event claims surge management</v>
      </c>
      <c r="D31" s="22">
        <f t="shared" si="2"/>
        <v>1.8</v>
      </c>
      <c r="E31" s="25">
        <v>2</v>
      </c>
      <c r="F31" s="25">
        <v>1</v>
      </c>
      <c r="G31" s="25">
        <v>2</v>
      </c>
      <c r="H31" s="25">
        <v>1</v>
      </c>
      <c r="I31" s="25">
        <v>2</v>
      </c>
      <c r="J31" s="25">
        <v>2</v>
      </c>
      <c r="K31" s="25">
        <v>3</v>
      </c>
    </row>
    <row r="32" spans="2:11" ht="17.25" customHeight="1" x14ac:dyDescent="0.35">
      <c r="B32" s="26" t="str">
        <f>IF('Use Cases'!B31&lt;&gt;"",'Use Cases'!B31,"")</f>
        <v>UC25</v>
      </c>
      <c r="C32" s="21" t="str">
        <f>IFERROR(VLOOKUP(B32,'Use Cases'!$B$7:$C$506,2,FALSE()),"")</f>
        <v>Pricing optimisation — competitive positioning</v>
      </c>
      <c r="D32" s="22">
        <f t="shared" si="2"/>
        <v>1.9</v>
      </c>
      <c r="E32" s="23">
        <v>2</v>
      </c>
      <c r="F32" s="23">
        <v>2</v>
      </c>
      <c r="G32" s="23">
        <v>1</v>
      </c>
      <c r="H32" s="23">
        <v>2</v>
      </c>
      <c r="I32" s="23">
        <v>2</v>
      </c>
      <c r="J32" s="23">
        <v>2</v>
      </c>
      <c r="K32" s="23">
        <v>3</v>
      </c>
    </row>
    <row r="33" spans="2:11" ht="17.25" customHeight="1" x14ac:dyDescent="0.35">
      <c r="B33" s="26" t="str">
        <f>IF('Use Cases'!B32&lt;&gt;"",'Use Cases'!B32,"")</f>
        <v>UC26</v>
      </c>
      <c r="C33" s="21" t="str">
        <f>IFERROR(VLOOKUP(B33,'Use Cases'!$B$7:$C$506,2,FALSE()),"")</f>
        <v>Internal knowledge management assistant</v>
      </c>
      <c r="D33" s="22">
        <f t="shared" si="2"/>
        <v>3</v>
      </c>
      <c r="E33" s="25">
        <v>3</v>
      </c>
      <c r="F33" s="25">
        <v>3</v>
      </c>
      <c r="G33" s="25">
        <v>3</v>
      </c>
      <c r="H33" s="25">
        <v>3</v>
      </c>
      <c r="I33" s="25">
        <v>2</v>
      </c>
      <c r="J33" s="25">
        <v>4</v>
      </c>
      <c r="K33" s="25">
        <v>3</v>
      </c>
    </row>
    <row r="34" spans="2:11" ht="17.25" customHeight="1" x14ac:dyDescent="0.35">
      <c r="B34" s="26" t="str">
        <f>IF('Use Cases'!B33&lt;&gt;"",'Use Cases'!B33,"")</f>
        <v>UC27</v>
      </c>
      <c r="C34" s="21" t="str">
        <f>IFERROR(VLOOKUP(B34,'Use Cases'!$B$7:$C$506,2,FALSE()),"")</f>
        <v>Vulnerable customer identification &amp; routing</v>
      </c>
      <c r="D34" s="22">
        <f t="shared" si="2"/>
        <v>2.6</v>
      </c>
      <c r="E34" s="23">
        <v>2</v>
      </c>
      <c r="F34" s="23">
        <v>3</v>
      </c>
      <c r="G34" s="23">
        <v>2</v>
      </c>
      <c r="H34" s="23">
        <v>3</v>
      </c>
      <c r="I34" s="23">
        <v>2</v>
      </c>
      <c r="J34" s="23">
        <v>3</v>
      </c>
      <c r="K34" s="23">
        <v>4</v>
      </c>
    </row>
    <row r="35" spans="2:11" ht="17.25" customHeight="1" x14ac:dyDescent="0.35">
      <c r="B35" s="26" t="str">
        <f>IF('Use Cases'!B34&lt;&gt;"",'Use Cases'!B34,"")</f>
        <v>UC28</v>
      </c>
      <c r="C35" s="21" t="str">
        <f>IFERROR(VLOOKUP(B35,'Use Cases'!$B$7:$C$506,2,FALSE()),"")</f>
        <v>Supplier &amp; third-party risk monitoring</v>
      </c>
      <c r="D35" s="22">
        <f t="shared" si="2"/>
        <v>2.9</v>
      </c>
      <c r="E35" s="25">
        <v>3</v>
      </c>
      <c r="F35" s="25">
        <v>3</v>
      </c>
      <c r="G35" s="25">
        <v>3</v>
      </c>
      <c r="H35" s="25">
        <v>3</v>
      </c>
      <c r="I35" s="25">
        <v>2</v>
      </c>
      <c r="J35" s="25">
        <v>3</v>
      </c>
      <c r="K35" s="25">
        <v>3</v>
      </c>
    </row>
    <row r="36" spans="2:11" ht="17.25" customHeight="1" x14ac:dyDescent="0.35">
      <c r="B36" s="26" t="str">
        <f>IF('Use Cases'!B35&lt;&gt;"",'Use Cases'!B35,"")</f>
        <v>UC29</v>
      </c>
      <c r="C36" s="21" t="str">
        <f>IFERROR(VLOOKUP(B36,'Use Cases'!$B$7:$C$506,2,FALSE()),"")</f>
        <v>Automated MI &amp; management reporting</v>
      </c>
      <c r="D36" s="22">
        <f t="shared" si="2"/>
        <v>2.85</v>
      </c>
      <c r="E36" s="23">
        <v>3</v>
      </c>
      <c r="F36" s="23">
        <v>2</v>
      </c>
      <c r="G36" s="23">
        <v>3</v>
      </c>
      <c r="H36" s="23">
        <v>3</v>
      </c>
      <c r="I36" s="23">
        <v>3</v>
      </c>
      <c r="J36" s="23">
        <v>3</v>
      </c>
      <c r="K36" s="23">
        <v>3</v>
      </c>
    </row>
    <row r="37" spans="2:11" ht="17.25" customHeight="1" x14ac:dyDescent="0.35">
      <c r="B37" s="26" t="str">
        <f>IF('Use Cases'!B36&lt;&gt;"",'Use Cases'!B36,"")</f>
        <v>UC30</v>
      </c>
      <c r="C37" s="21" t="str">
        <f>IFERROR(VLOOKUP(B37,'Use Cases'!$B$7:$C$506,2,FALSE()),"")</f>
        <v>Proactive churn prevention — personal lines</v>
      </c>
      <c r="D37" s="22">
        <f t="shared" si="2"/>
        <v>2.1</v>
      </c>
      <c r="E37" s="25">
        <v>2</v>
      </c>
      <c r="F37" s="25">
        <v>2</v>
      </c>
      <c r="G37" s="25">
        <v>2</v>
      </c>
      <c r="H37" s="25">
        <v>2</v>
      </c>
      <c r="I37" s="25">
        <v>2</v>
      </c>
      <c r="J37" s="25">
        <v>2</v>
      </c>
      <c r="K37" s="25">
        <v>3</v>
      </c>
    </row>
    <row r="38" spans="2:11" ht="17.25" customHeight="1" x14ac:dyDescent="0.35">
      <c r="B38" s="26" t="str">
        <f>IF('Use Cases'!B37&lt;&gt;"",'Use Cases'!B37,"")</f>
        <v>UC31</v>
      </c>
      <c r="C38" s="21" t="str">
        <f>IFERROR(VLOOKUP(B38,'Use Cases'!$B$7:$C$506,2,FALSE()),"")</f>
        <v>Automatic HR onboarding</v>
      </c>
      <c r="D38" s="22">
        <f t="shared" si="2"/>
        <v>2.2999999999999998</v>
      </c>
      <c r="E38" s="25">
        <v>1</v>
      </c>
      <c r="F38" s="25">
        <v>4</v>
      </c>
      <c r="G38" s="25">
        <v>2</v>
      </c>
      <c r="H38" s="25">
        <v>2</v>
      </c>
      <c r="I38" s="25">
        <v>1</v>
      </c>
      <c r="J38" s="25">
        <v>3</v>
      </c>
      <c r="K38" s="25">
        <v>4</v>
      </c>
    </row>
    <row r="39" spans="2:11" ht="17.25" customHeight="1" x14ac:dyDescent="0.35">
      <c r="B39" s="26" t="str">
        <f>IF('Use Cases'!B38&lt;&gt;"",'Use Cases'!B38,"")</f>
        <v/>
      </c>
      <c r="C39" s="21" t="str">
        <f>IFERROR(VLOOKUP(B39,'Use Cases'!$B$7:$C$506,2,FALSE()),"")</f>
        <v/>
      </c>
      <c r="D39" s="22" t="str">
        <f t="shared" si="2"/>
        <v/>
      </c>
      <c r="E39" s="25"/>
      <c r="F39" s="25"/>
      <c r="G39" s="25"/>
      <c r="H39" s="25"/>
      <c r="I39" s="25"/>
      <c r="J39" s="25"/>
      <c r="K39" s="25"/>
    </row>
    <row r="40" spans="2:11" ht="17.25" customHeight="1" x14ac:dyDescent="0.35">
      <c r="B40" s="26" t="str">
        <f>IF('Use Cases'!B39&lt;&gt;"",'Use Cases'!B39,"")</f>
        <v/>
      </c>
      <c r="C40" s="21" t="str">
        <f>IFERROR(VLOOKUP(B40,'Use Cases'!$B$7:$C$506,2,FALSE()),"")</f>
        <v/>
      </c>
      <c r="D40" s="22" t="str">
        <f t="shared" si="2"/>
        <v/>
      </c>
      <c r="E40" s="25"/>
      <c r="F40" s="25"/>
      <c r="G40" s="25"/>
      <c r="H40" s="25"/>
      <c r="I40" s="25"/>
      <c r="J40" s="25"/>
      <c r="K40" s="25"/>
    </row>
    <row r="41" spans="2:11" ht="17.25" customHeight="1" x14ac:dyDescent="0.35">
      <c r="B41" s="26" t="str">
        <f>IF('Use Cases'!B40&lt;&gt;"",'Use Cases'!B40,"")</f>
        <v/>
      </c>
      <c r="C41" s="21" t="str">
        <f>IFERROR(VLOOKUP(B41,'Use Cases'!$B$7:$C$506,2,FALSE()),"")</f>
        <v/>
      </c>
      <c r="D41" s="22" t="str">
        <f t="shared" si="2"/>
        <v/>
      </c>
      <c r="E41" s="25"/>
      <c r="F41" s="25"/>
      <c r="G41" s="25"/>
      <c r="H41" s="25"/>
      <c r="I41" s="25"/>
      <c r="J41" s="25"/>
      <c r="K41" s="25"/>
    </row>
    <row r="42" spans="2:11" ht="17.25" customHeight="1" x14ac:dyDescent="0.35">
      <c r="B42" s="26" t="str">
        <f>IF('Use Cases'!B41&lt;&gt;"",'Use Cases'!B41,"")</f>
        <v/>
      </c>
      <c r="C42" s="21" t="str">
        <f>IFERROR(VLOOKUP(B42,'Use Cases'!$B$7:$C$506,2,FALSE()),"")</f>
        <v/>
      </c>
      <c r="D42" s="22" t="str">
        <f t="shared" si="2"/>
        <v/>
      </c>
      <c r="E42" s="25"/>
      <c r="F42" s="25"/>
      <c r="G42" s="25"/>
      <c r="H42" s="25"/>
      <c r="I42" s="25"/>
      <c r="J42" s="25"/>
      <c r="K42" s="25"/>
    </row>
    <row r="43" spans="2:11" ht="17.25" customHeight="1" x14ac:dyDescent="0.35">
      <c r="B43" s="26" t="str">
        <f>IF('Use Cases'!B42&lt;&gt;"",'Use Cases'!B42,"")</f>
        <v/>
      </c>
      <c r="C43" s="21" t="str">
        <f>IFERROR(VLOOKUP(B43,'Use Cases'!$B$7:$C$506,2,FALSE()),"")</f>
        <v/>
      </c>
      <c r="D43" s="22" t="str">
        <f t="shared" si="2"/>
        <v/>
      </c>
      <c r="E43" s="25"/>
      <c r="F43" s="25"/>
      <c r="G43" s="25"/>
      <c r="H43" s="25"/>
      <c r="I43" s="25"/>
      <c r="J43" s="25"/>
      <c r="K43" s="25"/>
    </row>
    <row r="44" spans="2:11" ht="17.25" customHeight="1" x14ac:dyDescent="0.35">
      <c r="B44" s="26" t="str">
        <f>IF('Use Cases'!B43&lt;&gt;"",'Use Cases'!B43,"")</f>
        <v/>
      </c>
      <c r="C44" s="21" t="str">
        <f>IFERROR(VLOOKUP(B44,'Use Cases'!$B$7:$C$506,2,FALSE()),"")</f>
        <v/>
      </c>
      <c r="D44" s="22" t="str">
        <f t="shared" si="2"/>
        <v/>
      </c>
      <c r="E44" s="25"/>
      <c r="F44" s="25"/>
      <c r="G44" s="25"/>
      <c r="H44" s="25"/>
      <c r="I44" s="25"/>
      <c r="J44" s="25"/>
      <c r="K44" s="25"/>
    </row>
    <row r="45" spans="2:11" ht="17.25" customHeight="1" x14ac:dyDescent="0.35">
      <c r="B45" s="26" t="str">
        <f>IF('Use Cases'!B44&lt;&gt;"",'Use Cases'!B44,"")</f>
        <v/>
      </c>
      <c r="C45" s="21" t="str">
        <f>IFERROR(VLOOKUP(B45,'Use Cases'!$B$7:$C$506,2,FALSE()),"")</f>
        <v/>
      </c>
      <c r="D45" s="22" t="str">
        <f t="shared" si="2"/>
        <v/>
      </c>
      <c r="E45" s="25"/>
      <c r="F45" s="25"/>
      <c r="G45" s="25"/>
      <c r="H45" s="25"/>
      <c r="I45" s="25"/>
      <c r="J45" s="25"/>
      <c r="K45" s="25"/>
    </row>
    <row r="46" spans="2:11" ht="17.25" customHeight="1" x14ac:dyDescent="0.35">
      <c r="B46" s="26" t="str">
        <f>IF('Use Cases'!B45&lt;&gt;"",'Use Cases'!B45,"")</f>
        <v/>
      </c>
      <c r="C46" s="21" t="str">
        <f>IFERROR(VLOOKUP(B46,'Use Cases'!$B$7:$C$506,2,FALSE()),"")</f>
        <v/>
      </c>
      <c r="D46" s="22" t="str">
        <f t="shared" si="2"/>
        <v/>
      </c>
      <c r="E46" s="25"/>
      <c r="F46" s="25"/>
      <c r="G46" s="25"/>
      <c r="H46" s="25"/>
      <c r="I46" s="25"/>
      <c r="J46" s="25"/>
      <c r="K46" s="25"/>
    </row>
    <row r="47" spans="2:11" ht="17.25" customHeight="1" x14ac:dyDescent="0.35">
      <c r="B47" s="26" t="str">
        <f>IF('Use Cases'!B46&lt;&gt;"",'Use Cases'!B46,"")</f>
        <v/>
      </c>
      <c r="C47" s="24"/>
      <c r="D47" s="22" t="str">
        <f t="shared" si="2"/>
        <v/>
      </c>
      <c r="E47" s="25"/>
      <c r="F47" s="25"/>
      <c r="G47" s="25"/>
      <c r="H47" s="25"/>
      <c r="I47" s="25"/>
      <c r="J47" s="25"/>
      <c r="K47" s="25"/>
    </row>
    <row r="48" spans="2:11" ht="17.25" customHeight="1" x14ac:dyDescent="0.35">
      <c r="B48" s="26" t="str">
        <f>IF('Use Cases'!B47&lt;&gt;"",'Use Cases'!B47,"")</f>
        <v/>
      </c>
      <c r="C48" s="24"/>
      <c r="D48" s="22" t="str">
        <f t="shared" si="2"/>
        <v/>
      </c>
      <c r="E48" s="25"/>
      <c r="F48" s="25"/>
      <c r="G48" s="25"/>
      <c r="H48" s="25"/>
      <c r="I48" s="25"/>
      <c r="J48" s="25"/>
      <c r="K48" s="25"/>
    </row>
    <row r="49" spans="2:11" ht="17.25" customHeight="1" x14ac:dyDescent="0.35">
      <c r="B49" s="26" t="str">
        <f>IF('Use Cases'!B48&lt;&gt;"",'Use Cases'!B48,"")</f>
        <v/>
      </c>
      <c r="C49" s="24"/>
      <c r="D49" s="22" t="str">
        <f t="shared" si="2"/>
        <v/>
      </c>
      <c r="E49" s="25"/>
      <c r="F49" s="25"/>
      <c r="G49" s="25"/>
      <c r="H49" s="25"/>
      <c r="I49" s="25"/>
      <c r="J49" s="25"/>
      <c r="K49" s="25"/>
    </row>
    <row r="50" spans="2:11" ht="17.25" customHeight="1" x14ac:dyDescent="0.35">
      <c r="B50" s="26" t="str">
        <f>IF('Use Cases'!B49&lt;&gt;"",'Use Cases'!B49,"")</f>
        <v/>
      </c>
      <c r="C50" s="24"/>
      <c r="D50" s="22" t="str">
        <f t="shared" si="2"/>
        <v/>
      </c>
      <c r="E50" s="25"/>
      <c r="F50" s="25"/>
      <c r="G50" s="25"/>
      <c r="H50" s="25"/>
      <c r="I50" s="25"/>
      <c r="J50" s="25"/>
      <c r="K50" s="25"/>
    </row>
    <row r="51" spans="2:11" ht="17.25" customHeight="1" x14ac:dyDescent="0.35">
      <c r="B51" s="26" t="str">
        <f>IF('Use Cases'!B50&lt;&gt;"",'Use Cases'!B50,"")</f>
        <v/>
      </c>
      <c r="C51" s="24"/>
      <c r="D51" s="22" t="str">
        <f t="shared" si="2"/>
        <v/>
      </c>
      <c r="E51" s="25"/>
      <c r="F51" s="25"/>
      <c r="G51" s="25"/>
      <c r="H51" s="25"/>
      <c r="I51" s="25"/>
      <c r="J51" s="25"/>
      <c r="K51" s="25"/>
    </row>
    <row r="52" spans="2:11" ht="17.25" customHeight="1" x14ac:dyDescent="0.35">
      <c r="B52" s="26" t="str">
        <f>IF('Use Cases'!B51&lt;&gt;"",'Use Cases'!B51,"")</f>
        <v/>
      </c>
      <c r="C52" s="24"/>
      <c r="D52" s="22" t="str">
        <f t="shared" si="2"/>
        <v/>
      </c>
      <c r="E52" s="25"/>
      <c r="F52" s="25"/>
      <c r="G52" s="25"/>
      <c r="H52" s="25"/>
      <c r="I52" s="25"/>
      <c r="J52" s="25"/>
      <c r="K52" s="25"/>
    </row>
    <row r="53" spans="2:11" ht="17.25" customHeight="1" x14ac:dyDescent="0.35">
      <c r="B53" s="26" t="str">
        <f>IF('Use Cases'!B52&lt;&gt;"",'Use Cases'!B52,"")</f>
        <v/>
      </c>
      <c r="C53" s="24"/>
      <c r="D53" s="22" t="str">
        <f t="shared" si="2"/>
        <v/>
      </c>
      <c r="E53" s="25"/>
      <c r="F53" s="25"/>
      <c r="G53" s="25"/>
      <c r="H53" s="25"/>
      <c r="I53" s="25"/>
      <c r="J53" s="25"/>
      <c r="K53" s="25"/>
    </row>
    <row r="54" spans="2:11" ht="17.25" customHeight="1" x14ac:dyDescent="0.35">
      <c r="B54" s="26" t="str">
        <f>IF('Use Cases'!B53&lt;&gt;"",'Use Cases'!B53,"")</f>
        <v/>
      </c>
      <c r="C54" s="24"/>
      <c r="D54" s="22" t="str">
        <f t="shared" si="2"/>
        <v/>
      </c>
      <c r="E54" s="25"/>
      <c r="F54" s="25"/>
      <c r="G54" s="25"/>
      <c r="H54" s="25"/>
      <c r="I54" s="25"/>
      <c r="J54" s="25"/>
      <c r="K54" s="25"/>
    </row>
    <row r="55" spans="2:11" ht="17.25" customHeight="1" x14ac:dyDescent="0.35">
      <c r="B55" s="26" t="str">
        <f>IF('Use Cases'!B54&lt;&gt;"",'Use Cases'!B54,"")</f>
        <v/>
      </c>
      <c r="C55" s="24"/>
      <c r="D55" s="22" t="str">
        <f t="shared" si="2"/>
        <v/>
      </c>
      <c r="E55" s="25"/>
      <c r="F55" s="25"/>
      <c r="G55" s="25"/>
      <c r="H55" s="25"/>
      <c r="I55" s="25"/>
      <c r="J55" s="25"/>
      <c r="K55" s="25"/>
    </row>
    <row r="56" spans="2:11" ht="17.25" customHeight="1" x14ac:dyDescent="0.35">
      <c r="B56" s="26" t="str">
        <f>IF('Use Cases'!B55&lt;&gt;"",'Use Cases'!B55,"")</f>
        <v/>
      </c>
      <c r="C56" s="24"/>
      <c r="D56" s="22" t="str">
        <f t="shared" si="2"/>
        <v/>
      </c>
      <c r="E56" s="25"/>
      <c r="F56" s="25"/>
      <c r="G56" s="25"/>
      <c r="H56" s="25"/>
      <c r="I56" s="25"/>
      <c r="J56" s="25"/>
      <c r="K56" s="25"/>
    </row>
    <row r="57" spans="2:11" ht="17.25" customHeight="1" x14ac:dyDescent="0.35">
      <c r="B57" s="26" t="str">
        <f>IF('Use Cases'!B56&lt;&gt;"",'Use Cases'!B56,"")</f>
        <v/>
      </c>
      <c r="C57" s="24"/>
      <c r="D57" s="22" t="str">
        <f t="shared" si="2"/>
        <v/>
      </c>
      <c r="E57" s="25"/>
      <c r="F57" s="25"/>
      <c r="G57" s="25"/>
      <c r="H57" s="25"/>
      <c r="I57" s="25"/>
      <c r="J57" s="25"/>
      <c r="K57" s="25"/>
    </row>
    <row r="58" spans="2:11" ht="17.25" customHeight="1" x14ac:dyDescent="0.35">
      <c r="B58" s="26" t="str">
        <f>IF('Use Cases'!B57&lt;&gt;"",'Use Cases'!B57,"")</f>
        <v/>
      </c>
      <c r="C58" s="24"/>
      <c r="D58" s="22" t="str">
        <f t="shared" si="2"/>
        <v/>
      </c>
      <c r="E58" s="25"/>
      <c r="F58" s="25"/>
      <c r="G58" s="25"/>
      <c r="H58" s="25"/>
      <c r="I58" s="25"/>
      <c r="J58" s="25"/>
      <c r="K58" s="25"/>
    </row>
    <row r="59" spans="2:11" ht="17.25" customHeight="1" x14ac:dyDescent="0.35">
      <c r="B59" s="26" t="str">
        <f>IF('Use Cases'!B58&lt;&gt;"",'Use Cases'!B58,"")</f>
        <v/>
      </c>
      <c r="C59" s="24"/>
      <c r="D59" s="22" t="str">
        <f t="shared" si="2"/>
        <v/>
      </c>
      <c r="E59" s="25"/>
      <c r="F59" s="25"/>
      <c r="G59" s="25"/>
      <c r="H59" s="25"/>
      <c r="I59" s="25"/>
      <c r="J59" s="25"/>
      <c r="K59" s="25"/>
    </row>
    <row r="60" spans="2:11" ht="17.25" customHeight="1" x14ac:dyDescent="0.35">
      <c r="B60" s="26" t="str">
        <f>IF('Use Cases'!B59&lt;&gt;"",'Use Cases'!B59,"")</f>
        <v/>
      </c>
      <c r="C60" s="24"/>
      <c r="D60" s="22" t="str">
        <f t="shared" si="2"/>
        <v/>
      </c>
      <c r="E60" s="25"/>
      <c r="F60" s="25"/>
      <c r="G60" s="25"/>
      <c r="H60" s="25"/>
      <c r="I60" s="25"/>
      <c r="J60" s="25"/>
      <c r="K60" s="25"/>
    </row>
    <row r="61" spans="2:11" ht="17.25" customHeight="1" x14ac:dyDescent="0.35">
      <c r="B61" s="26" t="str">
        <f>IF('Use Cases'!B60&lt;&gt;"",'Use Cases'!B60,"")</f>
        <v/>
      </c>
      <c r="C61" s="24"/>
      <c r="D61" s="22" t="str">
        <f t="shared" si="2"/>
        <v/>
      </c>
      <c r="E61" s="25"/>
      <c r="F61" s="25"/>
      <c r="G61" s="25"/>
      <c r="H61" s="25"/>
      <c r="I61" s="25"/>
      <c r="J61" s="25"/>
      <c r="K61" s="25"/>
    </row>
    <row r="62" spans="2:11" ht="17.25" customHeight="1" x14ac:dyDescent="0.35">
      <c r="B62" s="26" t="str">
        <f>IF('Use Cases'!B61&lt;&gt;"",'Use Cases'!B61,"")</f>
        <v/>
      </c>
      <c r="C62" s="24"/>
      <c r="D62" s="22" t="str">
        <f t="shared" si="2"/>
        <v/>
      </c>
      <c r="E62" s="25"/>
      <c r="F62" s="25"/>
      <c r="G62" s="25"/>
      <c r="H62" s="25"/>
      <c r="I62" s="25"/>
      <c r="J62" s="25"/>
      <c r="K62" s="25"/>
    </row>
    <row r="63" spans="2:11" ht="17.25" customHeight="1" x14ac:dyDescent="0.35">
      <c r="B63" s="26" t="str">
        <f>IF('Use Cases'!B62&lt;&gt;"",'Use Cases'!B62,"")</f>
        <v/>
      </c>
      <c r="C63" s="24"/>
      <c r="D63" s="22" t="str">
        <f t="shared" si="2"/>
        <v/>
      </c>
      <c r="E63" s="25"/>
      <c r="F63" s="25"/>
      <c r="G63" s="25"/>
      <c r="H63" s="25"/>
      <c r="I63" s="25"/>
      <c r="J63" s="25"/>
      <c r="K63" s="25"/>
    </row>
    <row r="64" spans="2:11" ht="17.25" customHeight="1" x14ac:dyDescent="0.35">
      <c r="B64" s="26" t="str">
        <f>IF('Use Cases'!B63&lt;&gt;"",'Use Cases'!B63,"")</f>
        <v/>
      </c>
      <c r="C64" s="24"/>
      <c r="D64" s="22" t="str">
        <f t="shared" si="2"/>
        <v/>
      </c>
      <c r="E64" s="25"/>
      <c r="F64" s="25"/>
      <c r="G64" s="25"/>
      <c r="H64" s="25"/>
      <c r="I64" s="25"/>
      <c r="J64" s="25"/>
      <c r="K64" s="25"/>
    </row>
    <row r="65" spans="2:11" ht="17.25" customHeight="1" x14ac:dyDescent="0.35">
      <c r="B65" s="26" t="str">
        <f>IF('Use Cases'!B64&lt;&gt;"",'Use Cases'!B64,"")</f>
        <v/>
      </c>
      <c r="C65" s="24"/>
      <c r="D65" s="22" t="str">
        <f t="shared" si="2"/>
        <v/>
      </c>
      <c r="E65" s="25"/>
      <c r="F65" s="25"/>
      <c r="G65" s="25"/>
      <c r="H65" s="25"/>
      <c r="I65" s="25"/>
      <c r="J65" s="25"/>
      <c r="K65" s="25"/>
    </row>
    <row r="66" spans="2:11" ht="17.25" customHeight="1" x14ac:dyDescent="0.35">
      <c r="B66" s="26" t="str">
        <f>IF('Use Cases'!B65&lt;&gt;"",'Use Cases'!B65,"")</f>
        <v/>
      </c>
      <c r="C66" s="24"/>
      <c r="D66" s="22" t="str">
        <f t="shared" si="2"/>
        <v/>
      </c>
      <c r="E66" s="25"/>
      <c r="F66" s="25"/>
      <c r="G66" s="25"/>
      <c r="H66" s="25"/>
      <c r="I66" s="25"/>
      <c r="J66" s="25"/>
      <c r="K66" s="25"/>
    </row>
    <row r="67" spans="2:11" ht="17.25" customHeight="1" x14ac:dyDescent="0.35">
      <c r="B67" s="26" t="str">
        <f>IF('Use Cases'!B66&lt;&gt;"",'Use Cases'!B66,"")</f>
        <v/>
      </c>
      <c r="C67" s="24"/>
      <c r="D67" s="22" t="str">
        <f t="shared" si="2"/>
        <v/>
      </c>
      <c r="E67" s="25"/>
      <c r="F67" s="25"/>
      <c r="G67" s="25"/>
      <c r="H67" s="25"/>
      <c r="I67" s="25"/>
      <c r="J67" s="25"/>
      <c r="K67" s="25"/>
    </row>
    <row r="68" spans="2:11" ht="17.25" customHeight="1" x14ac:dyDescent="0.35">
      <c r="B68" s="26" t="str">
        <f>IF('Use Cases'!B67&lt;&gt;"",'Use Cases'!B67,"")</f>
        <v/>
      </c>
      <c r="C68" s="24"/>
      <c r="D68" s="22" t="str">
        <f t="shared" si="2"/>
        <v/>
      </c>
      <c r="E68" s="25"/>
      <c r="F68" s="25"/>
      <c r="G68" s="25"/>
      <c r="H68" s="25"/>
      <c r="I68" s="25"/>
      <c r="J68" s="25"/>
      <c r="K68" s="25"/>
    </row>
    <row r="69" spans="2:11" ht="17.25" customHeight="1" x14ac:dyDescent="0.35">
      <c r="B69" s="26" t="str">
        <f>IF('Use Cases'!B68&lt;&gt;"",'Use Cases'!B68,"")</f>
        <v/>
      </c>
      <c r="C69" s="24"/>
      <c r="D69" s="22" t="str">
        <f t="shared" si="2"/>
        <v/>
      </c>
      <c r="E69" s="25"/>
      <c r="F69" s="25"/>
      <c r="G69" s="25"/>
      <c r="H69" s="25"/>
      <c r="I69" s="25"/>
      <c r="J69" s="25"/>
      <c r="K69" s="25"/>
    </row>
    <row r="70" spans="2:11" ht="17.25" customHeight="1" x14ac:dyDescent="0.35">
      <c r="B70" s="26" t="str">
        <f>IF('Use Cases'!B69&lt;&gt;"",'Use Cases'!B69,"")</f>
        <v/>
      </c>
      <c r="C70" s="24"/>
      <c r="D70" s="22" t="str">
        <f t="shared" si="2"/>
        <v/>
      </c>
      <c r="E70" s="25"/>
      <c r="F70" s="25"/>
      <c r="G70" s="25"/>
      <c r="H70" s="25"/>
      <c r="I70" s="25"/>
      <c r="J70" s="25"/>
      <c r="K70" s="25"/>
    </row>
    <row r="71" spans="2:11" ht="17.25" customHeight="1" x14ac:dyDescent="0.35">
      <c r="B71" s="26" t="str">
        <f>IF('Use Cases'!B70&lt;&gt;"",'Use Cases'!B70,"")</f>
        <v/>
      </c>
      <c r="C71" s="24"/>
      <c r="D71" s="22" t="str">
        <f t="shared" si="2"/>
        <v/>
      </c>
      <c r="E71" s="25"/>
      <c r="F71" s="25"/>
      <c r="G71" s="25"/>
      <c r="H71" s="25"/>
      <c r="I71" s="25"/>
      <c r="J71" s="25"/>
      <c r="K71" s="25"/>
    </row>
    <row r="72" spans="2:11" ht="17.25" customHeight="1" x14ac:dyDescent="0.35">
      <c r="B72" s="26" t="str">
        <f>IF('Use Cases'!B71&lt;&gt;"",'Use Cases'!B71,"")</f>
        <v/>
      </c>
      <c r="C72" s="24"/>
      <c r="D72" s="22" t="str">
        <f t="shared" si="2"/>
        <v/>
      </c>
      <c r="E72" s="25"/>
      <c r="F72" s="25"/>
      <c r="G72" s="25"/>
      <c r="H72" s="25"/>
      <c r="I72" s="25"/>
      <c r="J72" s="25"/>
      <c r="K72" s="25"/>
    </row>
    <row r="73" spans="2:11" ht="17.25" customHeight="1" x14ac:dyDescent="0.35">
      <c r="B73" s="26" t="str">
        <f>IF('Use Cases'!B72&lt;&gt;"",'Use Cases'!B72,"")</f>
        <v/>
      </c>
      <c r="C73" s="24"/>
      <c r="D73" s="22" t="str">
        <f t="shared" ref="D73:D100" si="3">IF(B73&lt;&gt;"",IFERROR(SUMPRODUCT(E73:N73,E$7:N$7)/SUM(E$7:N$7),""),"")</f>
        <v/>
      </c>
      <c r="E73" s="25"/>
      <c r="F73" s="25"/>
      <c r="G73" s="25"/>
      <c r="H73" s="25"/>
      <c r="I73" s="25"/>
      <c r="J73" s="25"/>
      <c r="K73" s="25"/>
    </row>
    <row r="74" spans="2:11" ht="17.25" customHeight="1" x14ac:dyDescent="0.35">
      <c r="B74" s="26" t="str">
        <f>IF('Use Cases'!B73&lt;&gt;"",'Use Cases'!B73,"")</f>
        <v/>
      </c>
      <c r="C74" s="24"/>
      <c r="D74" s="22" t="str">
        <f t="shared" si="3"/>
        <v/>
      </c>
      <c r="E74" s="25"/>
      <c r="F74" s="25"/>
      <c r="G74" s="25"/>
      <c r="H74" s="25"/>
      <c r="I74" s="25"/>
      <c r="J74" s="25"/>
      <c r="K74" s="25"/>
    </row>
    <row r="75" spans="2:11" ht="17.25" customHeight="1" x14ac:dyDescent="0.35">
      <c r="B75" s="26" t="str">
        <f>IF('Use Cases'!B74&lt;&gt;"",'Use Cases'!B74,"")</f>
        <v/>
      </c>
      <c r="C75" s="24"/>
      <c r="D75" s="22" t="str">
        <f t="shared" si="3"/>
        <v/>
      </c>
      <c r="E75" s="25"/>
      <c r="F75" s="25"/>
      <c r="G75" s="25"/>
      <c r="H75" s="25"/>
      <c r="I75" s="25"/>
      <c r="J75" s="25"/>
      <c r="K75" s="25"/>
    </row>
    <row r="76" spans="2:11" ht="17.25" customHeight="1" x14ac:dyDescent="0.35">
      <c r="B76" s="26" t="str">
        <f>IF('Use Cases'!B75&lt;&gt;"",'Use Cases'!B75,"")</f>
        <v/>
      </c>
      <c r="C76" s="24"/>
      <c r="D76" s="22" t="str">
        <f t="shared" si="3"/>
        <v/>
      </c>
      <c r="E76" s="25"/>
      <c r="F76" s="25"/>
      <c r="G76" s="25"/>
      <c r="H76" s="25"/>
      <c r="I76" s="25"/>
      <c r="J76" s="25"/>
      <c r="K76" s="25"/>
    </row>
    <row r="77" spans="2:11" ht="17.25" customHeight="1" x14ac:dyDescent="0.35">
      <c r="B77" s="26" t="str">
        <f>IF('Use Cases'!B76&lt;&gt;"",'Use Cases'!B76,"")</f>
        <v/>
      </c>
      <c r="C77" s="24"/>
      <c r="D77" s="22" t="str">
        <f t="shared" si="3"/>
        <v/>
      </c>
      <c r="E77" s="25"/>
      <c r="F77" s="25"/>
      <c r="G77" s="25"/>
      <c r="H77" s="25"/>
      <c r="I77" s="25"/>
      <c r="J77" s="25"/>
      <c r="K77" s="25"/>
    </row>
    <row r="78" spans="2:11" ht="17.25" customHeight="1" x14ac:dyDescent="0.35">
      <c r="B78" s="26" t="str">
        <f>IF('Use Cases'!B77&lt;&gt;"",'Use Cases'!B77,"")</f>
        <v/>
      </c>
      <c r="C78" s="24"/>
      <c r="D78" s="22" t="str">
        <f t="shared" si="3"/>
        <v/>
      </c>
      <c r="E78" s="25"/>
      <c r="F78" s="25"/>
      <c r="G78" s="25"/>
      <c r="H78" s="25"/>
      <c r="I78" s="25"/>
      <c r="J78" s="25"/>
      <c r="K78" s="25"/>
    </row>
    <row r="79" spans="2:11" ht="17.25" customHeight="1" x14ac:dyDescent="0.35">
      <c r="B79" s="26" t="str">
        <f>IF('Use Cases'!B78&lt;&gt;"",'Use Cases'!B78,"")</f>
        <v/>
      </c>
      <c r="C79" s="24"/>
      <c r="D79" s="22" t="str">
        <f t="shared" si="3"/>
        <v/>
      </c>
      <c r="E79" s="25"/>
      <c r="F79" s="25"/>
      <c r="G79" s="25"/>
      <c r="H79" s="25"/>
      <c r="I79" s="25"/>
      <c r="J79" s="25"/>
      <c r="K79" s="25"/>
    </row>
    <row r="80" spans="2:11" ht="17.25" customHeight="1" x14ac:dyDescent="0.35">
      <c r="B80" s="26" t="str">
        <f>IF('Use Cases'!B79&lt;&gt;"",'Use Cases'!B79,"")</f>
        <v/>
      </c>
      <c r="C80" s="24"/>
      <c r="D80" s="22" t="str">
        <f t="shared" si="3"/>
        <v/>
      </c>
      <c r="E80" s="25"/>
      <c r="F80" s="25"/>
      <c r="G80" s="25"/>
      <c r="H80" s="25"/>
      <c r="I80" s="25"/>
      <c r="J80" s="25"/>
      <c r="K80" s="25"/>
    </row>
    <row r="81" spans="2:11" ht="17.25" customHeight="1" x14ac:dyDescent="0.35">
      <c r="B81" s="26" t="str">
        <f>IF('Use Cases'!B80&lt;&gt;"",'Use Cases'!B80,"")</f>
        <v/>
      </c>
      <c r="C81" s="24"/>
      <c r="D81" s="22" t="str">
        <f t="shared" si="3"/>
        <v/>
      </c>
      <c r="E81" s="25"/>
      <c r="F81" s="25"/>
      <c r="G81" s="25"/>
      <c r="H81" s="25"/>
      <c r="I81" s="25"/>
      <c r="J81" s="25"/>
      <c r="K81" s="25"/>
    </row>
    <row r="82" spans="2:11" ht="17.25" customHeight="1" x14ac:dyDescent="0.35">
      <c r="B82" s="26" t="str">
        <f>IF('Use Cases'!B81&lt;&gt;"",'Use Cases'!B81,"")</f>
        <v/>
      </c>
      <c r="C82" s="24"/>
      <c r="D82" s="22" t="str">
        <f t="shared" si="3"/>
        <v/>
      </c>
      <c r="E82" s="25"/>
      <c r="F82" s="25"/>
      <c r="G82" s="25"/>
      <c r="H82" s="25"/>
      <c r="I82" s="25"/>
      <c r="J82" s="25"/>
      <c r="K82" s="25"/>
    </row>
    <row r="83" spans="2:11" ht="17.25" customHeight="1" x14ac:dyDescent="0.35">
      <c r="B83" s="26" t="str">
        <f>IF('Use Cases'!B82&lt;&gt;"",'Use Cases'!B82,"")</f>
        <v/>
      </c>
      <c r="C83" s="24"/>
      <c r="D83" s="22" t="str">
        <f t="shared" si="3"/>
        <v/>
      </c>
      <c r="E83" s="25"/>
      <c r="F83" s="25"/>
      <c r="G83" s="25"/>
      <c r="H83" s="25"/>
      <c r="I83" s="25"/>
      <c r="J83" s="25"/>
      <c r="K83" s="25"/>
    </row>
    <row r="84" spans="2:11" ht="17.25" customHeight="1" x14ac:dyDescent="0.35">
      <c r="B84" s="26" t="str">
        <f>IF('Use Cases'!B83&lt;&gt;"",'Use Cases'!B83,"")</f>
        <v/>
      </c>
      <c r="C84" s="24"/>
      <c r="D84" s="22" t="str">
        <f t="shared" si="3"/>
        <v/>
      </c>
      <c r="E84" s="25"/>
      <c r="F84" s="25"/>
      <c r="G84" s="25"/>
      <c r="H84" s="25"/>
      <c r="I84" s="25"/>
      <c r="J84" s="25"/>
      <c r="K84" s="25"/>
    </row>
    <row r="85" spans="2:11" ht="17.25" customHeight="1" x14ac:dyDescent="0.35">
      <c r="B85" s="26" t="str">
        <f>IF('Use Cases'!B84&lt;&gt;"",'Use Cases'!B84,"")</f>
        <v/>
      </c>
      <c r="C85" s="24"/>
      <c r="D85" s="22" t="str">
        <f t="shared" si="3"/>
        <v/>
      </c>
      <c r="E85" s="25"/>
      <c r="F85" s="25"/>
      <c r="G85" s="25"/>
      <c r="H85" s="25"/>
      <c r="I85" s="25"/>
      <c r="J85" s="25"/>
      <c r="K85" s="25"/>
    </row>
    <row r="86" spans="2:11" ht="17.25" customHeight="1" x14ac:dyDescent="0.35">
      <c r="B86" s="26" t="str">
        <f>IF('Use Cases'!B85&lt;&gt;"",'Use Cases'!B85,"")</f>
        <v/>
      </c>
      <c r="C86" s="24"/>
      <c r="D86" s="22" t="str">
        <f t="shared" si="3"/>
        <v/>
      </c>
      <c r="E86" s="25"/>
      <c r="F86" s="25"/>
      <c r="G86" s="25"/>
      <c r="H86" s="25"/>
      <c r="I86" s="25"/>
      <c r="J86" s="25"/>
      <c r="K86" s="25"/>
    </row>
    <row r="87" spans="2:11" ht="17.25" customHeight="1" x14ac:dyDescent="0.35">
      <c r="B87" s="26" t="str">
        <f>IF('Use Cases'!B86&lt;&gt;"",'Use Cases'!B86,"")</f>
        <v/>
      </c>
      <c r="C87" s="24"/>
      <c r="D87" s="22" t="str">
        <f t="shared" si="3"/>
        <v/>
      </c>
      <c r="E87" s="25"/>
      <c r="F87" s="25"/>
      <c r="G87" s="25"/>
      <c r="H87" s="25"/>
      <c r="I87" s="25"/>
      <c r="J87" s="25"/>
      <c r="K87" s="25"/>
    </row>
    <row r="88" spans="2:11" ht="17.25" customHeight="1" x14ac:dyDescent="0.35">
      <c r="B88" s="26" t="str">
        <f>IF('Use Cases'!B87&lt;&gt;"",'Use Cases'!B87,"")</f>
        <v/>
      </c>
      <c r="C88" s="24"/>
      <c r="D88" s="22" t="str">
        <f t="shared" si="3"/>
        <v/>
      </c>
      <c r="E88" s="25"/>
      <c r="F88" s="25"/>
      <c r="G88" s="25"/>
      <c r="H88" s="25"/>
      <c r="I88" s="25"/>
      <c r="J88" s="25"/>
      <c r="K88" s="25"/>
    </row>
    <row r="89" spans="2:11" ht="17.25" customHeight="1" x14ac:dyDescent="0.35">
      <c r="B89" s="26" t="str">
        <f>IF('Use Cases'!B88&lt;&gt;"",'Use Cases'!B88,"")</f>
        <v/>
      </c>
      <c r="C89" s="24"/>
      <c r="D89" s="22" t="str">
        <f t="shared" si="3"/>
        <v/>
      </c>
      <c r="E89" s="25"/>
      <c r="F89" s="25"/>
      <c r="G89" s="25"/>
      <c r="H89" s="25"/>
      <c r="I89" s="25"/>
      <c r="J89" s="25"/>
      <c r="K89" s="25"/>
    </row>
    <row r="90" spans="2:11" ht="17.25" customHeight="1" x14ac:dyDescent="0.35">
      <c r="B90" s="26" t="str">
        <f>IF('Use Cases'!B89&lt;&gt;"",'Use Cases'!B89,"")</f>
        <v/>
      </c>
      <c r="C90" s="24"/>
      <c r="D90" s="22" t="str">
        <f t="shared" si="3"/>
        <v/>
      </c>
      <c r="E90" s="25"/>
      <c r="F90" s="25"/>
      <c r="G90" s="25"/>
      <c r="H90" s="25"/>
      <c r="I90" s="25"/>
      <c r="J90" s="25"/>
      <c r="K90" s="25"/>
    </row>
    <row r="91" spans="2:11" ht="17.25" customHeight="1" x14ac:dyDescent="0.35">
      <c r="B91" s="26" t="str">
        <f>IF('Use Cases'!B90&lt;&gt;"",'Use Cases'!B90,"")</f>
        <v/>
      </c>
      <c r="C91" s="24"/>
      <c r="D91" s="22" t="str">
        <f t="shared" si="3"/>
        <v/>
      </c>
      <c r="E91" s="25"/>
      <c r="F91" s="25"/>
      <c r="G91" s="25"/>
      <c r="H91" s="25"/>
      <c r="I91" s="25"/>
      <c r="J91" s="25"/>
      <c r="K91" s="25"/>
    </row>
    <row r="92" spans="2:11" ht="17.25" customHeight="1" x14ac:dyDescent="0.35">
      <c r="B92" s="26" t="str">
        <f>IF('Use Cases'!B91&lt;&gt;"",'Use Cases'!B91,"")</f>
        <v/>
      </c>
      <c r="C92" s="24"/>
      <c r="D92" s="22" t="str">
        <f t="shared" si="3"/>
        <v/>
      </c>
      <c r="E92" s="25"/>
      <c r="F92" s="25"/>
      <c r="G92" s="25"/>
      <c r="H92" s="25"/>
      <c r="I92" s="25"/>
      <c r="J92" s="25"/>
      <c r="K92" s="25"/>
    </row>
    <row r="93" spans="2:11" ht="17.25" customHeight="1" x14ac:dyDescent="0.35">
      <c r="B93" s="26" t="str">
        <f>IF('Use Cases'!B92&lt;&gt;"",'Use Cases'!B92,"")</f>
        <v/>
      </c>
      <c r="C93" s="24"/>
      <c r="D93" s="22" t="str">
        <f t="shared" si="3"/>
        <v/>
      </c>
      <c r="E93" s="25"/>
      <c r="F93" s="25"/>
      <c r="G93" s="25"/>
      <c r="H93" s="25"/>
      <c r="I93" s="25"/>
      <c r="J93" s="25"/>
      <c r="K93" s="25"/>
    </row>
    <row r="94" spans="2:11" ht="17.25" customHeight="1" x14ac:dyDescent="0.35">
      <c r="B94" s="26" t="str">
        <f>IF('Use Cases'!B93&lt;&gt;"",'Use Cases'!B93,"")</f>
        <v/>
      </c>
      <c r="C94" s="24"/>
      <c r="D94" s="22" t="str">
        <f t="shared" si="3"/>
        <v/>
      </c>
      <c r="E94" s="25"/>
      <c r="F94" s="25"/>
      <c r="G94" s="25"/>
      <c r="H94" s="25"/>
      <c r="I94" s="25"/>
      <c r="J94" s="25"/>
      <c r="K94" s="25"/>
    </row>
    <row r="95" spans="2:11" ht="17.25" customHeight="1" x14ac:dyDescent="0.35">
      <c r="B95" s="26" t="str">
        <f>IF('Use Cases'!B94&lt;&gt;"",'Use Cases'!B94,"")</f>
        <v/>
      </c>
      <c r="C95" s="24"/>
      <c r="D95" s="22" t="str">
        <f t="shared" si="3"/>
        <v/>
      </c>
      <c r="E95" s="25"/>
      <c r="F95" s="25"/>
      <c r="G95" s="25"/>
      <c r="H95" s="25"/>
      <c r="I95" s="25"/>
      <c r="J95" s="25"/>
      <c r="K95" s="25"/>
    </row>
    <row r="96" spans="2:11" ht="17.25" customHeight="1" x14ac:dyDescent="0.35">
      <c r="B96" s="26" t="str">
        <f>IF('Use Cases'!B95&lt;&gt;"",'Use Cases'!B95,"")</f>
        <v/>
      </c>
      <c r="C96" s="24"/>
      <c r="D96" s="22" t="str">
        <f t="shared" si="3"/>
        <v/>
      </c>
      <c r="E96" s="25"/>
      <c r="F96" s="25"/>
      <c r="G96" s="25"/>
      <c r="H96" s="25"/>
      <c r="I96" s="25"/>
      <c r="J96" s="25"/>
      <c r="K96" s="25"/>
    </row>
    <row r="97" spans="2:11" ht="17.25" customHeight="1" x14ac:dyDescent="0.35">
      <c r="B97" s="26" t="str">
        <f>IF('Use Cases'!B96&lt;&gt;"",'Use Cases'!B96,"")</f>
        <v/>
      </c>
      <c r="C97" s="24"/>
      <c r="D97" s="22" t="str">
        <f t="shared" si="3"/>
        <v/>
      </c>
      <c r="E97" s="25"/>
      <c r="F97" s="25"/>
      <c r="G97" s="25"/>
      <c r="H97" s="25"/>
      <c r="I97" s="25"/>
      <c r="J97" s="25"/>
      <c r="K97" s="25"/>
    </row>
    <row r="98" spans="2:11" ht="17.25" customHeight="1" x14ac:dyDescent="0.35">
      <c r="B98" s="26" t="str">
        <f>IF('Use Cases'!B97&lt;&gt;"",'Use Cases'!B97,"")</f>
        <v/>
      </c>
      <c r="C98" s="24"/>
      <c r="D98" s="22" t="str">
        <f t="shared" si="3"/>
        <v/>
      </c>
      <c r="E98" s="25"/>
      <c r="F98" s="25"/>
      <c r="G98" s="25"/>
      <c r="H98" s="25"/>
      <c r="I98" s="25"/>
      <c r="J98" s="25"/>
      <c r="K98" s="25"/>
    </row>
    <row r="99" spans="2:11" ht="17.25" customHeight="1" x14ac:dyDescent="0.35">
      <c r="B99" s="26" t="str">
        <f>IF('Use Cases'!B98&lt;&gt;"",'Use Cases'!B98,"")</f>
        <v/>
      </c>
      <c r="C99" s="24"/>
      <c r="D99" s="22" t="str">
        <f t="shared" si="3"/>
        <v/>
      </c>
      <c r="E99" s="25"/>
      <c r="F99" s="25"/>
      <c r="G99" s="25"/>
      <c r="H99" s="25"/>
      <c r="I99" s="25"/>
      <c r="J99" s="25"/>
      <c r="K99" s="25"/>
    </row>
    <row r="100" spans="2:11" ht="17.25" customHeight="1" x14ac:dyDescent="0.35">
      <c r="B100" s="26" t="str">
        <f>IF('Use Cases'!B99&lt;&gt;"",'Use Cases'!B99,"")</f>
        <v/>
      </c>
      <c r="C100" s="24"/>
      <c r="D100" s="22" t="str">
        <f t="shared" si="3"/>
        <v/>
      </c>
      <c r="E100" s="25"/>
      <c r="F100" s="25"/>
      <c r="G100" s="25"/>
      <c r="H100" s="25"/>
      <c r="I100" s="25"/>
      <c r="J100" s="25"/>
      <c r="K100" s="25"/>
    </row>
    <row r="101" spans="2:11" ht="18" customHeight="1" x14ac:dyDescent="0.35">
      <c r="B101" s="26" t="str">
        <f>IF('Use Cases'!B100&lt;&gt;"",'Use Cases'!B100,"")</f>
        <v/>
      </c>
      <c r="C101" s="24"/>
      <c r="D101" s="22" t="str">
        <f t="shared" ref="D101:D106" si="4">IF(B101&lt;&gt;"",IFERROR(SUMPRODUCT(E101:N101,E$7:N$7)/SUM(E$7:N$7),""),"")</f>
        <v/>
      </c>
      <c r="E101" s="25"/>
      <c r="F101" s="25"/>
      <c r="G101" s="25"/>
      <c r="H101" s="25"/>
      <c r="I101" s="25"/>
      <c r="J101" s="25"/>
      <c r="K101" s="25"/>
    </row>
    <row r="102" spans="2:11" ht="18" customHeight="1" x14ac:dyDescent="0.35">
      <c r="B102" s="26" t="str">
        <f>IF('Use Cases'!B101&lt;&gt;"",'Use Cases'!B101,"")</f>
        <v/>
      </c>
      <c r="C102" s="24"/>
      <c r="D102" s="22" t="str">
        <f t="shared" si="4"/>
        <v/>
      </c>
      <c r="E102" s="25"/>
      <c r="F102" s="25"/>
      <c r="G102" s="25"/>
      <c r="H102" s="25"/>
      <c r="I102" s="25"/>
      <c r="J102" s="25"/>
      <c r="K102" s="25"/>
    </row>
    <row r="103" spans="2:11" ht="18" customHeight="1" x14ac:dyDescent="0.35">
      <c r="B103" s="26" t="str">
        <f>IF('Use Cases'!B102&lt;&gt;"",'Use Cases'!B102,"")</f>
        <v/>
      </c>
      <c r="C103" s="24"/>
      <c r="D103" s="22" t="str">
        <f t="shared" si="4"/>
        <v/>
      </c>
      <c r="E103" s="25"/>
      <c r="F103" s="25"/>
      <c r="G103" s="25"/>
      <c r="H103" s="25"/>
      <c r="I103" s="25"/>
      <c r="J103" s="25"/>
      <c r="K103" s="25"/>
    </row>
    <row r="104" spans="2:11" ht="18" customHeight="1" x14ac:dyDescent="0.35">
      <c r="B104" s="26" t="str">
        <f>IF('Use Cases'!B103&lt;&gt;"",'Use Cases'!B103,"")</f>
        <v/>
      </c>
      <c r="C104" s="24"/>
      <c r="D104" s="22" t="str">
        <f t="shared" si="4"/>
        <v/>
      </c>
      <c r="E104" s="25"/>
      <c r="F104" s="25"/>
      <c r="G104" s="25"/>
      <c r="H104" s="25"/>
      <c r="I104" s="25"/>
      <c r="J104" s="25"/>
      <c r="K104" s="25"/>
    </row>
    <row r="105" spans="2:11" ht="18" customHeight="1" x14ac:dyDescent="0.35">
      <c r="B105" s="26" t="str">
        <f>IF('Use Cases'!B104&lt;&gt;"",'Use Cases'!B104,"")</f>
        <v/>
      </c>
      <c r="C105" s="24"/>
      <c r="D105" s="22" t="str">
        <f t="shared" si="4"/>
        <v/>
      </c>
      <c r="E105" s="25"/>
      <c r="F105" s="25"/>
      <c r="G105" s="25"/>
      <c r="H105" s="25"/>
      <c r="I105" s="25"/>
      <c r="J105" s="25"/>
      <c r="K105" s="25"/>
    </row>
    <row r="106" spans="2:11" ht="18" customHeight="1" x14ac:dyDescent="0.35">
      <c r="B106" s="26" t="str">
        <f>IF('Use Cases'!B105&lt;&gt;"",'Use Cases'!B105,"")</f>
        <v/>
      </c>
      <c r="C106" s="24"/>
      <c r="D106" s="22" t="str">
        <f t="shared" si="4"/>
        <v/>
      </c>
      <c r="E106" s="25"/>
      <c r="F106" s="25"/>
      <c r="G106" s="25"/>
      <c r="H106" s="25"/>
      <c r="I106" s="25"/>
      <c r="J106" s="25"/>
      <c r="K106" s="25"/>
    </row>
  </sheetData>
  <mergeCells count="4">
    <mergeCell ref="B2:K2"/>
    <mergeCell ref="B3:K3"/>
    <mergeCell ref="B4:D4"/>
    <mergeCell ref="E4:N4"/>
  </mergeCells>
  <conditionalFormatting sqref="E8:K37">
    <cfRule type="colorScale" priority="4">
      <colorScale>
        <cfvo type="num" val="1"/>
        <cfvo type="num" val="5"/>
        <color rgb="FFFEE2E2"/>
        <color rgb="FFD1FAE5"/>
      </colorScale>
    </cfRule>
  </conditionalFormatting>
  <conditionalFormatting sqref="E38:K106">
    <cfRule type="colorScale" priority="1">
      <colorScale>
        <cfvo type="num" val="1"/>
        <cfvo type="num" val="5"/>
        <color rgb="FFFEE2E2"/>
        <color rgb="FFD1FAE5"/>
      </colorScale>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README</vt:lpstr>
      <vt:lpstr>Config</vt:lpstr>
      <vt:lpstr>Enablers</vt:lpstr>
      <vt:lpstr>Use Cases</vt:lpstr>
      <vt:lpstr>Impact Scores</vt:lpstr>
      <vt:lpstr>Readiness Scores</vt:lpstr>
      <vt:lpstr>BusinessDomains</vt:lpstr>
      <vt:lpstr>CurrentStates</vt:lpstr>
      <vt:lpstr>EnablerIDs</vt:lpstr>
      <vt:lpstr>ImpactFactorIDs</vt:lpstr>
      <vt:lpstr>ImpactFactors</vt:lpstr>
      <vt:lpstr>InvestmentThemes</vt:lpstr>
      <vt:lpstr>ReadinessFactorIDs</vt:lpstr>
      <vt:lpstr>ReadinessFactors</vt:lpstr>
      <vt:lpstr>RegulatoryRisk</vt:lpstr>
      <vt:lpstr>UseCaseIDs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Ian Thomas</cp:lastModifiedBy>
  <cp:revision>0</cp:revision>
  <dcterms:created xsi:type="dcterms:W3CDTF">2026-04-01T08:56:38Z</dcterms:created>
  <dcterms:modified xsi:type="dcterms:W3CDTF">2026-04-07T16:21:33Z</dcterms:modified>
  <dc:language>en-US</dc:language>
</cp:coreProperties>
</file>